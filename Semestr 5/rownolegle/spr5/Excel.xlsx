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zkoła\Semestr 5\rownolegle\spr5\"/>
    </mc:Choice>
  </mc:AlternateContent>
  <xr:revisionPtr revIDLastSave="0" documentId="8_{073F3FBB-D88E-4E14-B22A-258BC369EFFC}" xr6:coauthVersionLast="47" xr6:coauthVersionMax="47" xr10:uidLastSave="{00000000-0000-0000-0000-000000000000}"/>
  <bookViews>
    <workbookView xWindow="-96" yWindow="-96" windowWidth="23232" windowHeight="12552" xr2:uid="{3F8EDE27-C147-4736-8A8E-885381083491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D15" i="1"/>
  <c r="D16" i="1" s="1"/>
  <c r="F15" i="1"/>
  <c r="F16" i="1"/>
  <c r="E16" i="1"/>
  <c r="I9" i="1"/>
  <c r="I10" i="1" s="1"/>
  <c r="J9" i="1"/>
  <c r="J10" i="1" s="1"/>
  <c r="H9" i="1"/>
  <c r="H10" i="1" s="1"/>
  <c r="D14" i="1"/>
  <c r="F14" i="1"/>
  <c r="E14" i="1"/>
  <c r="J8" i="1"/>
  <c r="I8" i="1"/>
  <c r="H8" i="1"/>
  <c r="F8" i="1"/>
  <c r="E8" i="1"/>
  <c r="D8" i="1"/>
  <c r="D9" i="1" s="1"/>
  <c r="D10" i="1" s="1"/>
  <c r="F9" i="1" l="1"/>
  <c r="F10" i="1" s="1"/>
  <c r="E9" i="1"/>
  <c r="E10" i="1" s="1"/>
</calcChain>
</file>

<file path=xl/sharedStrings.xml><?xml version="1.0" encoding="utf-8"?>
<sst xmlns="http://schemas.openxmlformats.org/spreadsheetml/2006/main" count="11" uniqueCount="7">
  <si>
    <t>nr p</t>
  </si>
  <si>
    <t>omp</t>
  </si>
  <si>
    <t>mpi</t>
  </si>
  <si>
    <t>średnia</t>
  </si>
  <si>
    <t>przyśpieszenie</t>
  </si>
  <si>
    <t>efektywność</t>
  </si>
  <si>
    <t>perfect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</si>
</sst>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theme="1"/>
      <name val="Liberation Sans"/>
      <charset val="238"/>
    </font>
    <font>
      <sz val="10"/>
      <color theme="1"/>
      <name val="Liberation Sans"/>
      <charset val="238"/>
    </font>
    <font>
      <b/>
      <sz val="10"/>
      <color theme="1"/>
      <name val="Liberation Sans"/>
      <charset val="238"/>
    </font>
    <font>
      <b/>
      <sz val="10"/>
      <color rgb="FFFFFFFF"/>
      <name val="Liberation Sans"/>
      <charset val="238"/>
    </font>
    <font>
      <sz val="10"/>
      <color rgb="FFCC0000"/>
      <name val="Liberation Sans"/>
      <charset val="238"/>
    </font>
    <font>
      <i/>
      <sz val="10"/>
      <color rgb="FF808080"/>
      <name val="Liberation Sans"/>
      <charset val="238"/>
    </font>
    <font>
      <sz val="10"/>
      <color rgb="FF006600"/>
      <name val="Liberation Sans"/>
      <charset val="238"/>
    </font>
    <font>
      <b/>
      <sz val="24"/>
      <color rgb="FF000000"/>
      <name val="Liberation Sans"/>
      <charset val="238"/>
    </font>
    <font>
      <b/>
      <sz val="18"/>
      <color rgb="FF000000"/>
      <name val="Liberation Sans"/>
      <charset val="238"/>
    </font>
    <font>
      <b/>
      <sz val="12"/>
      <color rgb="FF000000"/>
      <name val="Liberation Sans"/>
      <charset val="238"/>
    </font>
    <font>
      <u/>
      <sz val="10"/>
      <color rgb="FF0000EE"/>
      <name val="Liberation Sans"/>
      <charset val="238"/>
    </font>
    <font>
      <sz val="10"/>
      <color rgb="FF996600"/>
      <name val="Liberation Sans"/>
      <charset val="238"/>
    </font>
    <font>
      <sz val="10"/>
      <color rgb="FF333333"/>
      <name val="Liberation Sans"/>
      <charset val="238"/>
    </font>
    <font>
      <b/>
      <i/>
      <u/>
      <sz val="10"/>
      <color theme="1"/>
      <name val="Liberation Sans"/>
      <charset val="238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9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3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8" borderId="0"/>
    <xf numFmtId="0" fontId="12" fillId="8" borderId="1"/>
    <xf numFmtId="0" fontId="13" fillId="0" borderId="0"/>
    <xf numFmtId="0" fontId="1" fillId="0" borderId="0"/>
    <xf numFmtId="0" fontId="1" fillId="0" borderId="0"/>
    <xf numFmtId="0" fontId="4" fillId="0" borderId="0"/>
  </cellStyleXfs>
  <cellXfs count="1">
    <xf numFmtId="0" fontId="0" fillId="0" borderId="0" xfId="0"/>
  </cellXfs>
  <cellStyles count="19">
    <cellStyle name="Accent" xfId="1" xr:uid="{5B8CC948-9969-4A63-9F06-FE68568EF5AF}"/>
    <cellStyle name="Accent 1" xfId="2" xr:uid="{BA292F94-70A8-4359-A3EB-382010B4BBF4}"/>
    <cellStyle name="Accent 2" xfId="3" xr:uid="{5858C796-0EC6-451D-BB6A-2AF8E729A018}"/>
    <cellStyle name="Accent 3" xfId="4" xr:uid="{74EDBDCB-03A0-448A-A81D-01228EDE28FB}"/>
    <cellStyle name="Bad" xfId="5" xr:uid="{3BC3ABDF-5ABA-4CEF-B14D-25243CD8E44B}"/>
    <cellStyle name="Error" xfId="6" xr:uid="{457E5D94-0111-4D39-97D2-8539801C5519}"/>
    <cellStyle name="Footnote" xfId="7" xr:uid="{B955BE15-989A-419F-BAD1-8FEA57CED3BC}"/>
    <cellStyle name="Good" xfId="8" xr:uid="{B4028BD0-F9C3-492D-BEAF-6D4FDC8B98B9}"/>
    <cellStyle name="Heading" xfId="9" xr:uid="{F27D745E-22F5-4A07-B29F-2552BCE007D5}"/>
    <cellStyle name="Heading 1" xfId="10" xr:uid="{BCCEA97F-800D-4F70-8E8F-DEEDBCB0DE68}"/>
    <cellStyle name="Heading 2" xfId="11" xr:uid="{612BE407-0C3E-4761-8331-82EEDEC2505A}"/>
    <cellStyle name="Hyperlink" xfId="12" xr:uid="{6C4D0788-3C24-4069-9419-CB7C62B1BD57}"/>
    <cellStyle name="Neutral" xfId="13" xr:uid="{F99381D4-8A3F-4B40-8CFC-C460C61D3AA1}"/>
    <cellStyle name="Normalny" xfId="0" builtinId="0" customBuiltin="1"/>
    <cellStyle name="Note" xfId="14" xr:uid="{121C7701-02D5-4E7F-98AB-67B6E00684C5}"/>
    <cellStyle name="Result" xfId="15" xr:uid="{3EDF805C-3700-478C-A5C2-9130C24C0C98}"/>
    <cellStyle name="Status" xfId="16" xr:uid="{E81699A0-AF42-46A0-A421-DB879C64533D}"/>
    <cellStyle name="Text" xfId="17" xr:uid="{2FF1846A-6E3F-4BD8-A678-43B03F95D41C}"/>
    <cellStyle name="Warning" xfId="18" xr:uid="{308B5E69-A521-4576-95E1-EF6B7361D5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 przyśpieszenia od liczby wątków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Sheet1!$C$10</c:f>
              <c:strCache>
                <c:ptCount val="1"/>
                <c:pt idx="0">
                  <c:v>omp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Sheet1!$D$4:$F$4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Sheet1!$D$9:$F$9</c:f>
              <c:numCache>
                <c:formatCode>General</c:formatCode>
                <c:ptCount val="3"/>
                <c:pt idx="0">
                  <c:v>1</c:v>
                </c:pt>
                <c:pt idx="1">
                  <c:v>2.0061479681680252</c:v>
                </c:pt>
                <c:pt idx="2">
                  <c:v>3.0086514771426227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5F-49C6-95D6-CC900D8D79D0}"/>
            </c:ext>
          </c:extLst>
        </c:ser>
        <c:ser>
          <c:idx val="2"/>
          <c:order val="2"/>
          <c:tx>
            <c:strRef>
              <c:f>Sheet1!$C$16</c:f>
              <c:strCache>
                <c:ptCount val="1"/>
                <c:pt idx="0">
                  <c:v>mpi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Sheet1!$D$4:$F$4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Sheet1!$D$15:$F$15</c:f>
              <c:numCache>
                <c:formatCode>General</c:formatCode>
                <c:ptCount val="3"/>
                <c:pt idx="0">
                  <c:v>1</c:v>
                </c:pt>
                <c:pt idx="1">
                  <c:v>1.8797485802503175</c:v>
                </c:pt>
                <c:pt idx="2">
                  <c:v>3.7179321051010978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5F-49C6-95D6-CC900D8D79D0}"/>
            </c:ext>
          </c:extLst>
        </c:ser>
        <c:ser>
          <c:idx val="3"/>
          <c:order val="3"/>
          <c:tx>
            <c:strRef>
              <c:f>Sheet1!$C$19</c:f>
              <c:strCache>
                <c:ptCount val="1"/>
                <c:pt idx="0">
                  <c:v>perfect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Sheet1!$D$19:$F$19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5F-49C6-95D6-CC900D8D7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1919599"/>
        <c:axId val="52192631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Sheet1!$C$4</c15:sqref>
                        </c15:formulaRef>
                      </c:ext>
                    </c:extLst>
                    <c:strCache>
                      <c:ptCount val="1"/>
                      <c:pt idx="0">
                        <c:v>nr p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Sheet1!$D$4:$F$4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Sheet1!$D$4:$F$4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85F-49C6-95D6-CC900D8D79D0}"/>
                  </c:ext>
                </c:extLst>
              </c15:ser>
            </c15:filteredLineSeries>
          </c:ext>
        </c:extLst>
      </c:lineChart>
      <c:catAx>
        <c:axId val="521919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wątków(omp) lub procesów(mpi)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21926319"/>
        <c:crosses val="autoZero"/>
        <c:auto val="1"/>
        <c:lblAlgn val="ctr"/>
        <c:lblOffset val="100"/>
        <c:noMultiLvlLbl val="0"/>
      </c:catAx>
      <c:valAx>
        <c:axId val="52192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Przyśpieszenie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2191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Wykres efektywności od liczby wątków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Sheet1!$C$18</c:f>
              <c:strCache>
                <c:ptCount val="1"/>
                <c:pt idx="0">
                  <c:v>perfect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Sheet1!$D$4:$F$4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Sheet1!$D$18:$F$18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BE-41A6-8F62-603E446EE163}"/>
            </c:ext>
          </c:extLst>
        </c:ser>
        <c:ser>
          <c:idx val="1"/>
          <c:order val="1"/>
          <c:tx>
            <c:strRef>
              <c:f>Sheet1!$C$10</c:f>
              <c:strCache>
                <c:ptCount val="1"/>
                <c:pt idx="0">
                  <c:v>omp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Sheet1!$D$4:$F$4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Sheet1!$D$10:$F$10</c:f>
              <c:numCache>
                <c:formatCode>General</c:formatCode>
                <c:ptCount val="3"/>
                <c:pt idx="0">
                  <c:v>1</c:v>
                </c:pt>
                <c:pt idx="1">
                  <c:v>1.0030739840840126</c:v>
                </c:pt>
                <c:pt idx="2">
                  <c:v>0.75216286928565568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BE-41A6-8F62-603E446EE163}"/>
            </c:ext>
          </c:extLst>
        </c:ser>
        <c:ser>
          <c:idx val="2"/>
          <c:order val="2"/>
          <c:tx>
            <c:strRef>
              <c:f>Sheet1!$C$16</c:f>
              <c:strCache>
                <c:ptCount val="1"/>
                <c:pt idx="0">
                  <c:v>mpi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Sheet1!$D$4:$F$4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Sheet1!$D$16:$F$16</c:f>
              <c:numCache>
                <c:formatCode>General</c:formatCode>
                <c:ptCount val="3"/>
                <c:pt idx="0">
                  <c:v>1</c:v>
                </c:pt>
                <c:pt idx="1">
                  <c:v>0.93987429012515877</c:v>
                </c:pt>
                <c:pt idx="2">
                  <c:v>0.92948302627527446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BE-41A6-8F62-603E446EE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1922479"/>
        <c:axId val="521919119"/>
      </c:lineChart>
      <c:catAx>
        <c:axId val="521922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Liczba wątków(omp) lub procesów(mpi)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21919119"/>
        <c:crosses val="autoZero"/>
        <c:auto val="1"/>
        <c:lblAlgn val="ctr"/>
        <c:lblOffset val="100"/>
        <c:noMultiLvlLbl val="0"/>
      </c:catAx>
      <c:valAx>
        <c:axId val="52191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Efektywność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2192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535305</xdr:colOff>
      <xdr:row>19</xdr:row>
      <xdr:rowOff>137160</xdr:rowOff>
    </xdr:from>
    <xdr:to>
      <xdr:col>6</xdr:col>
      <xdr:colOff>238125</xdr:colOff>
      <xdr:row>37</xdr:row>
      <xdr:rowOff>68580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7E0B9DF-B200-D75C-4B51-C291D9E87C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485775</xdr:colOff>
      <xdr:row>19</xdr:row>
      <xdr:rowOff>137160</xdr:rowOff>
    </xdr:from>
    <xdr:to>
      <xdr:col>12</xdr:col>
      <xdr:colOff>592455</xdr:colOff>
      <xdr:row>37</xdr:row>
      <xdr:rowOff>68580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B5642E1-6964-D3F3-95A9-ECC98DEA9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1EC81-D086-4D0A-A05D-916B40AD99DA}">
  <dimension ref="B4:J19"/>
  <sheetViews>
    <sheetView tabSelected="1" workbookViewId="0">
      <selection activeCell="G18" sqref="G18"/>
    </sheetView>
  </sheetViews>
  <sheetFormatPr defaultRowHeight="12.3"/>
  <cols>
    <col min="1" max="10" width="11.83203125" customWidth="1"/>
  </cols>
  <sheetData>
    <row r="4" spans="2:10">
      <c r="C4" t="s">
        <v>0</v>
      </c>
      <c r="D4">
        <v>1</v>
      </c>
      <c r="E4">
        <v>2</v>
      </c>
      <c r="F4">
        <v>4</v>
      </c>
      <c r="H4">
        <v>1</v>
      </c>
      <c r="I4">
        <v>2</v>
      </c>
      <c r="J4">
        <v>4</v>
      </c>
    </row>
    <row r="5" spans="2:10">
      <c r="D5">
        <v>0.92762299999999998</v>
      </c>
      <c r="E5">
        <v>0.47634300000000002</v>
      </c>
      <c r="F5">
        <v>0.29732999999999998</v>
      </c>
      <c r="H5">
        <v>0.194775</v>
      </c>
      <c r="I5">
        <v>0.104157</v>
      </c>
      <c r="J5">
        <v>5.2933000000000001E-2</v>
      </c>
    </row>
    <row r="6" spans="2:10">
      <c r="D6">
        <v>0.941523</v>
      </c>
      <c r="E6">
        <v>0.46452500000000002</v>
      </c>
      <c r="F6">
        <v>0.31019400000000003</v>
      </c>
      <c r="H6">
        <v>0.19022900000000001</v>
      </c>
      <c r="I6">
        <v>0.100964</v>
      </c>
      <c r="J6">
        <v>5.4677000000000003E-2</v>
      </c>
    </row>
    <row r="7" spans="2:10">
      <c r="D7">
        <v>0.95050500000000004</v>
      </c>
      <c r="E7">
        <v>0.46463700000000002</v>
      </c>
      <c r="F7">
        <v>0.32965699999999998</v>
      </c>
      <c r="H7">
        <v>0.194577</v>
      </c>
      <c r="I7">
        <v>0.10320799999999999</v>
      </c>
      <c r="J7">
        <v>4.8278000000000001E-2</v>
      </c>
    </row>
    <row r="8" spans="2:10">
      <c r="B8" t="s">
        <v>3</v>
      </c>
      <c r="D8">
        <f>AVERAGE(D5:D7)</f>
        <v>0.93988366666666667</v>
      </c>
      <c r="E8">
        <f>AVERAGE(E5:E7)</f>
        <v>0.46850166666666665</v>
      </c>
      <c r="F8">
        <f>AVERAGE(F5:F7)</f>
        <v>0.31239366666666663</v>
      </c>
      <c r="H8">
        <f>AVERAGE(H5:H7)</f>
        <v>0.19319366666666668</v>
      </c>
      <c r="I8">
        <f>AVERAGE(I5:I7)</f>
        <v>0.10277633333333332</v>
      </c>
      <c r="J8">
        <f>AVERAGE(J5:J7)</f>
        <v>5.1962666666666678E-2</v>
      </c>
    </row>
    <row r="9" spans="2:10">
      <c r="B9" t="s">
        <v>4</v>
      </c>
      <c r="D9">
        <f>$D$8/D8</f>
        <v>1</v>
      </c>
      <c r="E9">
        <f>$D$8/E8</f>
        <v>2.0061479681680252</v>
      </c>
      <c r="F9">
        <f>$D$8/F8</f>
        <v>3.0086514771426227</v>
      </c>
      <c r="H9">
        <f>H8/$D$5</f>
        <v>0.20826743910690731</v>
      </c>
      <c r="I9">
        <f>I8/$D$5</f>
        <v>0.11079536981438938</v>
      </c>
      <c r="J9">
        <f>J8/$D$5</f>
        <v>5.6017009783787895E-2</v>
      </c>
    </row>
    <row r="10" spans="2:10">
      <c r="B10" t="s">
        <v>5</v>
      </c>
      <c r="C10" t="s">
        <v>1</v>
      </c>
      <c r="D10">
        <f>D9/D4</f>
        <v>1</v>
      </c>
      <c r="E10">
        <f t="shared" ref="E10:J10" si="0">E9/E4</f>
        <v>1.0030739840840126</v>
      </c>
      <c r="F10">
        <f t="shared" si="0"/>
        <v>0.75216286928565568</v>
      </c>
      <c r="H10">
        <f t="shared" si="0"/>
        <v>0.20826743910690731</v>
      </c>
      <c r="I10">
        <f t="shared" si="0"/>
        <v>5.539768490719469E-2</v>
      </c>
      <c r="J10">
        <f t="shared" si="0"/>
        <v>1.4004252445946974E-2</v>
      </c>
    </row>
    <row r="11" spans="2:10">
      <c r="D11">
        <v>0.194775</v>
      </c>
      <c r="E11">
        <v>0.104157</v>
      </c>
      <c r="F11">
        <v>5.2933000000000001E-2</v>
      </c>
    </row>
    <row r="12" spans="2:10">
      <c r="D12">
        <v>0.19022900000000001</v>
      </c>
      <c r="E12">
        <v>0.100964</v>
      </c>
      <c r="F12">
        <v>5.4677000000000003E-2</v>
      </c>
    </row>
    <row r="13" spans="2:10">
      <c r="D13">
        <v>0.194577</v>
      </c>
      <c r="E13">
        <v>0.10320799999999999</v>
      </c>
      <c r="F13">
        <v>4.8278000000000001E-2</v>
      </c>
    </row>
    <row r="14" spans="2:10">
      <c r="B14" t="s">
        <v>3</v>
      </c>
      <c r="D14">
        <f>AVERAGE(D11:D13)</f>
        <v>0.19319366666666668</v>
      </c>
      <c r="E14">
        <f>AVERAGE(E11:E13)</f>
        <v>0.10277633333333332</v>
      </c>
      <c r="F14">
        <f>AVERAGE(F11:F13)</f>
        <v>5.1962666666666678E-2</v>
      </c>
    </row>
    <row r="15" spans="2:10">
      <c r="B15" t="s">
        <v>4</v>
      </c>
      <c r="D15">
        <f>$D$14/D14</f>
        <v>1</v>
      </c>
      <c r="E15">
        <f>$D$14/E14</f>
        <v>1.8797485802503175</v>
      </c>
      <c r="F15">
        <f>$D$14/F14</f>
        <v>3.7179321051010978</v>
      </c>
    </row>
    <row r="16" spans="2:10">
      <c r="B16" t="s">
        <v>5</v>
      </c>
      <c r="C16" t="s">
        <v>2</v>
      </c>
      <c r="D16">
        <f>D15/D4</f>
        <v>1</v>
      </c>
      <c r="E16">
        <f>E15/E4</f>
        <v>0.93987429012515877</v>
      </c>
      <c r="F16">
        <f>F15/F4</f>
        <v>0.92948302627527446</v>
      </c>
    </row>
    <row r="18" spans="3:6">
      <c r="C18" t="s">
        <v>6</v>
      </c>
      <c r="D18">
        <v>1</v>
      </c>
      <c r="E18">
        <v>1</v>
      </c>
      <c r="F18">
        <v>1</v>
      </c>
    </row>
    <row r="19" spans="3:6">
      <c r="C19" t="s">
        <v>6</v>
      </c>
      <c r="D19">
        <v>1</v>
      </c>
      <c r="E19">
        <v>2</v>
      </c>
      <c r="F19">
        <v>4</v>
      </c>
    </row>
  </sheetData>
  <pageMargins left="0" right="0" top="0.39370000000000011" bottom="0.39370000000000011" header="0" footer="0"/>
  <headerFooter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Marek Kubicki</cp:lastModifiedBy>
  <cp:revision>2</cp:revision>
  <dcterms:created xsi:type="dcterms:W3CDTF">2025-01-13T09:47:49Z</dcterms:created>
  <dcterms:modified xsi:type="dcterms:W3CDTF">2025-01-19T10:21:33Z</dcterms:modified>
</cp:coreProperties>
</file>