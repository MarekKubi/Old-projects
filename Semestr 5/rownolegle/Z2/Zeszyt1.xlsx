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zkoła\Semestr 5\rownolegle\Z2\"/>
    </mc:Choice>
  </mc:AlternateContent>
  <xr:revisionPtr revIDLastSave="0" documentId="13_ncr:1_{F820EFE7-7BAD-4BA9-8D77-B0AA639C602F}" xr6:coauthVersionLast="47" xr6:coauthVersionMax="47" xr10:uidLastSave="{00000000-0000-0000-0000-000000000000}"/>
  <bookViews>
    <workbookView xWindow="-96" yWindow="-96" windowWidth="23232" windowHeight="12552" xr2:uid="{761F350A-B456-46ED-8D33-F53C286F37B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9" i="1" l="1"/>
  <c r="T38" i="1"/>
  <c r="T37" i="1"/>
  <c r="S39" i="1"/>
  <c r="S38" i="1"/>
  <c r="S37" i="1"/>
  <c r="L39" i="1"/>
  <c r="O38" i="1"/>
  <c r="N38" i="1"/>
  <c r="M38" i="1"/>
  <c r="L38" i="1"/>
  <c r="I38" i="1"/>
  <c r="H38" i="1"/>
  <c r="G38" i="1"/>
  <c r="F38" i="1"/>
  <c r="O37" i="1"/>
  <c r="N37" i="1"/>
  <c r="M37" i="1"/>
  <c r="L37" i="1"/>
  <c r="I37" i="1"/>
  <c r="H37" i="1"/>
  <c r="G37" i="1"/>
  <c r="F37" i="1"/>
  <c r="O36" i="1"/>
  <c r="O39" i="1" s="1"/>
  <c r="N36" i="1"/>
  <c r="N39" i="1" s="1"/>
  <c r="M36" i="1"/>
  <c r="M39" i="1" s="1"/>
  <c r="L36" i="1"/>
  <c r="I36" i="1"/>
  <c r="I39" i="1" s="1"/>
  <c r="H36" i="1"/>
  <c r="H39" i="1" s="1"/>
  <c r="G36" i="1"/>
  <c r="G39" i="1" s="1"/>
  <c r="F36" i="1"/>
  <c r="F39" i="1" s="1"/>
  <c r="I31" i="1"/>
  <c r="H31" i="1"/>
  <c r="G31" i="1"/>
  <c r="F31" i="1"/>
  <c r="O30" i="1"/>
  <c r="N30" i="1"/>
  <c r="M30" i="1"/>
  <c r="L30" i="1"/>
  <c r="O29" i="1"/>
  <c r="N29" i="1"/>
  <c r="M29" i="1"/>
  <c r="L29" i="1"/>
  <c r="L31" i="1" s="1"/>
  <c r="O28" i="1"/>
  <c r="O31" i="1" s="1"/>
  <c r="N28" i="1"/>
  <c r="N31" i="1" s="1"/>
  <c r="M28" i="1"/>
  <c r="M31" i="1" s="1"/>
  <c r="L28" i="1"/>
  <c r="U37" i="1"/>
  <c r="V37" i="1"/>
  <c r="U38" i="1"/>
  <c r="V38" i="1"/>
  <c r="U39" i="1"/>
  <c r="V39" i="1"/>
  <c r="S40" i="1"/>
  <c r="T40" i="1"/>
  <c r="U40" i="1"/>
  <c r="V40" i="1"/>
  <c r="T55" i="1"/>
  <c r="T54" i="1"/>
  <c r="T53" i="1"/>
  <c r="T56" i="1" s="1"/>
  <c r="T57" i="1" s="1"/>
  <c r="S55" i="1"/>
  <c r="S54" i="1"/>
  <c r="S53" i="1"/>
  <c r="V55" i="1"/>
  <c r="U55" i="1"/>
  <c r="V47" i="1"/>
  <c r="U47" i="1"/>
  <c r="T47" i="1"/>
  <c r="S47" i="1"/>
  <c r="V54" i="1"/>
  <c r="U54" i="1"/>
  <c r="V46" i="1"/>
  <c r="U46" i="1"/>
  <c r="T46" i="1"/>
  <c r="S46" i="1"/>
  <c r="V53" i="1"/>
  <c r="U53" i="1"/>
  <c r="V45" i="1"/>
  <c r="U45" i="1"/>
  <c r="T45" i="1"/>
  <c r="S45" i="1"/>
  <c r="V32" i="1"/>
  <c r="V33" i="1" s="1"/>
  <c r="U32" i="1"/>
  <c r="U33" i="1" s="1"/>
  <c r="T32" i="1"/>
  <c r="T33" i="1" s="1"/>
  <c r="S32" i="1"/>
  <c r="S33" i="1" s="1"/>
  <c r="L14" i="1"/>
  <c r="L13" i="1"/>
  <c r="M13" i="1" s="1"/>
  <c r="V41" i="1" l="1"/>
  <c r="S56" i="1"/>
  <c r="S57" i="1" s="1"/>
  <c r="S41" i="1"/>
  <c r="S48" i="1"/>
  <c r="S49" i="1" s="1"/>
  <c r="T41" i="1"/>
  <c r="U41" i="1"/>
  <c r="U56" i="1"/>
  <c r="U57" i="1" s="1"/>
  <c r="V56" i="1"/>
  <c r="V57" i="1" s="1"/>
  <c r="V48" i="1"/>
  <c r="V49" i="1" s="1"/>
  <c r="U48" i="1"/>
  <c r="U49" i="1" s="1"/>
  <c r="T48" i="1"/>
  <c r="T49" i="1" s="1"/>
</calcChain>
</file>

<file path=xl/sharedStrings.xml><?xml version="1.0" encoding="utf-8"?>
<sst xmlns="http://schemas.openxmlformats.org/spreadsheetml/2006/main" count="82" uniqueCount="19">
  <si>
    <t>Wersje Debugowania</t>
  </si>
  <si>
    <t>OP. In/out</t>
  </si>
  <si>
    <t>OP. Arytmetyczne</t>
  </si>
  <si>
    <t>Wersje do optymalizacji</t>
  </si>
  <si>
    <t>Czas zegara</t>
  </si>
  <si>
    <t>Czas CPU</t>
  </si>
  <si>
    <t>Średnia:</t>
  </si>
  <si>
    <t>OSTATECZNE</t>
  </si>
  <si>
    <t>clone</t>
  </si>
  <si>
    <t>deb</t>
  </si>
  <si>
    <t>zeg</t>
  </si>
  <si>
    <t>cpu</t>
  </si>
  <si>
    <t>opt</t>
  </si>
  <si>
    <t>opt fork</t>
  </si>
  <si>
    <t>a1</t>
  </si>
  <si>
    <t>b1</t>
  </si>
  <si>
    <t>c1</t>
  </si>
  <si>
    <t>fork</t>
  </si>
  <si>
    <t>Czas 1 operacji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</si>
</sst>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31">
    <xf numFmtId="0" fontId="0" fillId="0" borderId="0" xfId="0"/>
    <xf numFmtId="0" fontId="1" fillId="6" borderId="1" xfId="5" applyBorder="1" applyAlignment="1">
      <alignment horizontal="center" vertical="center" wrapText="1"/>
    </xf>
    <xf numFmtId="0" fontId="2" fillId="2" borderId="2" xfId="1" applyBorder="1" applyAlignment="1">
      <alignment horizontal="center"/>
    </xf>
    <xf numFmtId="0" fontId="2" fillId="2" borderId="3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5" xfId="1" applyBorder="1" applyAlignment="1">
      <alignment horizontal="center"/>
    </xf>
    <xf numFmtId="0" fontId="2" fillId="2" borderId="6" xfId="1" applyBorder="1" applyAlignment="1">
      <alignment horizontal="center"/>
    </xf>
    <xf numFmtId="0" fontId="1" fillId="6" borderId="7" xfId="5" applyBorder="1" applyAlignment="1">
      <alignment horizontal="center" vertical="center" wrapText="1"/>
    </xf>
    <xf numFmtId="0" fontId="1" fillId="4" borderId="8" xfId="3" applyBorder="1"/>
    <xf numFmtId="0" fontId="1" fillId="4" borderId="9" xfId="3" applyBorder="1"/>
    <xf numFmtId="0" fontId="1" fillId="4" borderId="10" xfId="3" applyBorder="1"/>
    <xf numFmtId="0" fontId="1" fillId="4" borderId="11" xfId="3" applyBorder="1"/>
    <xf numFmtId="0" fontId="1" fillId="3" borderId="12" xfId="2" applyBorder="1"/>
    <xf numFmtId="0" fontId="1" fillId="3" borderId="13" xfId="2" applyBorder="1"/>
    <xf numFmtId="0" fontId="1" fillId="3" borderId="14" xfId="2" applyBorder="1"/>
    <xf numFmtId="0" fontId="1" fillId="3" borderId="15" xfId="2" applyBorder="1"/>
    <xf numFmtId="0" fontId="1" fillId="6" borderId="16" xfId="5" applyBorder="1" applyAlignment="1">
      <alignment horizontal="center" vertical="center" wrapText="1"/>
    </xf>
    <xf numFmtId="0" fontId="1" fillId="3" borderId="17" xfId="2" applyBorder="1"/>
    <xf numFmtId="0" fontId="1" fillId="3" borderId="18" xfId="2" applyBorder="1"/>
    <xf numFmtId="0" fontId="1" fillId="3" borderId="19" xfId="2" applyBorder="1"/>
    <xf numFmtId="0" fontId="1" fillId="4" borderId="20" xfId="3" applyBorder="1"/>
    <xf numFmtId="0" fontId="1" fillId="5" borderId="21" xfId="4" applyBorder="1"/>
    <xf numFmtId="0" fontId="1" fillId="5" borderId="9" xfId="4" applyBorder="1"/>
    <xf numFmtId="0" fontId="1" fillId="5" borderId="8" xfId="4" applyBorder="1"/>
    <xf numFmtId="0" fontId="1" fillId="6" borderId="1" xfId="5" applyBorder="1" applyAlignment="1">
      <alignment horizontal="center" vertical="center" wrapText="1"/>
    </xf>
    <xf numFmtId="0" fontId="1" fillId="6" borderId="23" xfId="5" applyBorder="1" applyAlignment="1">
      <alignment horizontal="center" vertical="center" wrapText="1"/>
    </xf>
    <xf numFmtId="11" fontId="1" fillId="6" borderId="8" xfId="5" applyNumberFormat="1" applyBorder="1"/>
    <xf numFmtId="11" fontId="1" fillId="6" borderId="22" xfId="5" applyNumberFormat="1" applyBorder="1"/>
    <xf numFmtId="11" fontId="1" fillId="6" borderId="5" xfId="5" applyNumberFormat="1" applyBorder="1"/>
    <xf numFmtId="0" fontId="2" fillId="2" borderId="22" xfId="1" applyBorder="1" applyAlignment="1">
      <alignment horizontal="center"/>
    </xf>
    <xf numFmtId="0" fontId="2" fillId="2" borderId="21" xfId="1" applyBorder="1" applyAlignment="1">
      <alignment horizontal="center"/>
    </xf>
  </cellXfs>
  <cellStyles count="6">
    <cellStyle name="20% — akcent 1" xfId="2" builtinId="30"/>
    <cellStyle name="40% — akcent 4" xfId="4" builtinId="43"/>
    <cellStyle name="60% — akcent 1" xfId="3" builtinId="32"/>
    <cellStyle name="60% — akcent 4" xfId="5" builtinId="44"/>
    <cellStyle name="Akcent 1" xfId="1" builtinId="29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1621-3248-41B9-B7A1-596FF58797C2}">
  <dimension ref="D5:V57"/>
  <sheetViews>
    <sheetView tabSelected="1" topLeftCell="G22" workbookViewId="0">
      <selection activeCell="T45" sqref="T45"/>
    </sheetView>
  </sheetViews>
  <sheetFormatPr defaultRowHeight="14.4" x14ac:dyDescent="0.55000000000000004"/>
  <cols>
    <col min="5" max="5" width="12.26171875" customWidth="1"/>
    <col min="6" max="6" width="11.734375" bestFit="1" customWidth="1"/>
    <col min="7" max="8" width="11.68359375" bestFit="1" customWidth="1"/>
    <col min="9" max="9" width="26.26171875" customWidth="1"/>
    <col min="18" max="18" width="12.7890625" customWidth="1"/>
    <col min="19" max="22" width="11.68359375" bestFit="1" customWidth="1"/>
  </cols>
  <sheetData>
    <row r="5" spans="4:13" x14ac:dyDescent="0.55000000000000004">
      <c r="D5" t="s">
        <v>7</v>
      </c>
      <c r="E5" t="s">
        <v>8</v>
      </c>
      <c r="J5" t="s">
        <v>9</v>
      </c>
    </row>
    <row r="6" spans="4:13" x14ac:dyDescent="0.55000000000000004">
      <c r="E6" t="s">
        <v>14</v>
      </c>
      <c r="F6" t="s">
        <v>15</v>
      </c>
      <c r="G6" t="s">
        <v>16</v>
      </c>
    </row>
    <row r="7" spans="4:13" x14ac:dyDescent="0.55000000000000004">
      <c r="D7" t="s">
        <v>9</v>
      </c>
      <c r="E7">
        <v>0.145263</v>
      </c>
      <c r="F7">
        <v>0.127555</v>
      </c>
      <c r="G7">
        <v>0.132134</v>
      </c>
      <c r="I7">
        <v>1.4849060000000001</v>
      </c>
      <c r="J7">
        <v>1.114468</v>
      </c>
      <c r="K7">
        <v>1.591029</v>
      </c>
      <c r="M7" t="s">
        <v>10</v>
      </c>
    </row>
    <row r="8" spans="4:13" x14ac:dyDescent="0.55000000000000004">
      <c r="E8">
        <v>5.8760000000000001E-3</v>
      </c>
      <c r="F8">
        <v>6.4850000000000003E-3</v>
      </c>
      <c r="G8">
        <v>7.5960000000000003E-3</v>
      </c>
      <c r="I8">
        <v>0.14976800000000001</v>
      </c>
      <c r="J8">
        <v>0.122379</v>
      </c>
      <c r="K8">
        <v>0.123172</v>
      </c>
      <c r="M8" t="s">
        <v>11</v>
      </c>
    </row>
    <row r="9" spans="4:13" x14ac:dyDescent="0.55000000000000004">
      <c r="E9">
        <v>0.54027899999999995</v>
      </c>
      <c r="F9">
        <v>0.50628700000000004</v>
      </c>
      <c r="G9">
        <v>0.53055799999999997</v>
      </c>
    </row>
    <row r="10" spans="4:13" x14ac:dyDescent="0.55000000000000004">
      <c r="I10">
        <v>0.49475999999999998</v>
      </c>
      <c r="J10">
        <v>0.50247699999999995</v>
      </c>
      <c r="K10">
        <v>0.51345499999999999</v>
      </c>
      <c r="M10" t="s">
        <v>10</v>
      </c>
    </row>
    <row r="11" spans="4:13" x14ac:dyDescent="0.55000000000000004">
      <c r="D11" t="s">
        <v>12</v>
      </c>
      <c r="E11">
        <v>0.12202399999999999</v>
      </c>
      <c r="F11">
        <v>0.12538099999999999</v>
      </c>
      <c r="G11">
        <v>0.16824700000000001</v>
      </c>
      <c r="I11">
        <v>0.330702</v>
      </c>
      <c r="J11">
        <v>0.36846800000000002</v>
      </c>
      <c r="K11">
        <v>0.40931299999999998</v>
      </c>
      <c r="M11" t="s">
        <v>11</v>
      </c>
    </row>
    <row r="12" spans="4:13" x14ac:dyDescent="0.55000000000000004">
      <c r="E12">
        <v>4.1619999999999999E-3</v>
      </c>
      <c r="F12">
        <v>2.849E-3</v>
      </c>
      <c r="G12">
        <v>5.4689999999999999E-3</v>
      </c>
    </row>
    <row r="13" spans="4:13" x14ac:dyDescent="0.55000000000000004">
      <c r="E13">
        <v>0.54153300000000004</v>
      </c>
      <c r="F13">
        <v>0.55279</v>
      </c>
      <c r="G13">
        <v>0.52644899999999994</v>
      </c>
      <c r="J13" t="s">
        <v>12</v>
      </c>
      <c r="L13">
        <f xml:space="preserve"> 1000000</f>
        <v>1000000</v>
      </c>
      <c r="M13">
        <f>L13/100</f>
        <v>10000</v>
      </c>
    </row>
    <row r="14" spans="4:13" x14ac:dyDescent="0.55000000000000004">
      <c r="L14">
        <f xml:space="preserve"> 10000*10000</f>
        <v>100000000</v>
      </c>
    </row>
    <row r="15" spans="4:13" x14ac:dyDescent="0.55000000000000004">
      <c r="D15" t="s">
        <v>13</v>
      </c>
      <c r="E15">
        <v>0.16824700000000001</v>
      </c>
      <c r="F15">
        <v>0.18018899999999999</v>
      </c>
      <c r="G15">
        <v>0.16584299999999999</v>
      </c>
      <c r="I15">
        <v>1.4682539999999999</v>
      </c>
      <c r="J15">
        <v>1.191308</v>
      </c>
      <c r="K15">
        <v>1.3242929999999999</v>
      </c>
    </row>
    <row r="16" spans="4:13" x14ac:dyDescent="0.55000000000000004">
      <c r="E16">
        <v>5.4689999999999999E-3</v>
      </c>
      <c r="F16">
        <v>6.1279999999999998E-3</v>
      </c>
      <c r="G16">
        <v>6.8339999999999998E-3</v>
      </c>
      <c r="I16">
        <v>0.144623</v>
      </c>
      <c r="J16">
        <v>0.14921300000000001</v>
      </c>
      <c r="K16">
        <v>0.15285199999999999</v>
      </c>
    </row>
    <row r="17" spans="5:22" x14ac:dyDescent="0.55000000000000004">
      <c r="E17">
        <v>0.52644899999999994</v>
      </c>
      <c r="F17">
        <v>0.72019</v>
      </c>
      <c r="G17">
        <v>0.65992799999999996</v>
      </c>
    </row>
    <row r="18" spans="5:22" x14ac:dyDescent="0.55000000000000004">
      <c r="I18">
        <v>0.50417000000000001</v>
      </c>
      <c r="J18">
        <v>0.48031699999999999</v>
      </c>
      <c r="K18">
        <v>0.47115699999999999</v>
      </c>
    </row>
    <row r="19" spans="5:22" x14ac:dyDescent="0.55000000000000004">
      <c r="I19">
        <v>0.37885600000000003</v>
      </c>
      <c r="J19">
        <v>0.28742699999999999</v>
      </c>
      <c r="K19">
        <v>0.20658299999999999</v>
      </c>
    </row>
    <row r="20" spans="5:22" x14ac:dyDescent="0.55000000000000004">
      <c r="E20">
        <v>0.37212600000000001</v>
      </c>
      <c r="F20">
        <v>0.37162800000000001</v>
      </c>
      <c r="G20">
        <v>0.32568900000000001</v>
      </c>
    </row>
    <row r="21" spans="5:22" x14ac:dyDescent="0.55000000000000004">
      <c r="E21">
        <v>1.0330000000000001E-3</v>
      </c>
      <c r="F21">
        <v>8.711E-3</v>
      </c>
      <c r="G21">
        <v>1.4339999999999999E-3</v>
      </c>
    </row>
    <row r="22" spans="5:22" x14ac:dyDescent="0.55000000000000004">
      <c r="E22">
        <v>1.179243</v>
      </c>
      <c r="F22">
        <v>1.119286</v>
      </c>
      <c r="G22">
        <v>1.054683</v>
      </c>
    </row>
    <row r="25" spans="5:22" ht="14.7" thickBot="1" x14ac:dyDescent="0.6"/>
    <row r="26" spans="5:22" ht="14.7" customHeight="1" thickBot="1" x14ac:dyDescent="0.6">
      <c r="E26" s="1" t="s">
        <v>0</v>
      </c>
      <c r="F26" s="2" t="s">
        <v>1</v>
      </c>
      <c r="G26" s="3"/>
      <c r="H26" s="4" t="s">
        <v>2</v>
      </c>
      <c r="I26" s="5"/>
      <c r="K26" s="1" t="s">
        <v>3</v>
      </c>
      <c r="L26" s="2" t="s">
        <v>1</v>
      </c>
      <c r="M26" s="3"/>
      <c r="N26" s="3" t="s">
        <v>2</v>
      </c>
      <c r="O26" s="6"/>
    </row>
    <row r="27" spans="5:22" ht="14.7" customHeight="1" thickBot="1" x14ac:dyDescent="0.6">
      <c r="E27" s="7"/>
      <c r="F27" s="8" t="s">
        <v>4</v>
      </c>
      <c r="G27" s="9" t="s">
        <v>5</v>
      </c>
      <c r="H27" s="10" t="s">
        <v>4</v>
      </c>
      <c r="I27" s="11" t="s">
        <v>5</v>
      </c>
      <c r="K27" s="7"/>
      <c r="L27" s="8" t="s">
        <v>4</v>
      </c>
      <c r="M27" s="9" t="s">
        <v>5</v>
      </c>
      <c r="N27" s="10" t="s">
        <v>4</v>
      </c>
      <c r="O27" s="11" t="s">
        <v>5</v>
      </c>
      <c r="R27" s="24">
        <v>10000</v>
      </c>
      <c r="S27" s="2" t="s">
        <v>1</v>
      </c>
      <c r="T27" s="3"/>
      <c r="U27" s="4" t="s">
        <v>2</v>
      </c>
      <c r="V27" s="5"/>
    </row>
    <row r="28" spans="5:22" ht="14.7" thickBot="1" x14ac:dyDescent="0.6">
      <c r="E28" s="7"/>
      <c r="F28" s="12">
        <v>1.4849060000000001</v>
      </c>
      <c r="G28" s="13">
        <v>0.14976800000000001</v>
      </c>
      <c r="H28" s="12">
        <v>0.49475999999999998</v>
      </c>
      <c r="I28" s="13">
        <v>0.36846800000000002</v>
      </c>
      <c r="K28" s="7"/>
      <c r="L28" s="12">
        <f>I15</f>
        <v>1.4682539999999999</v>
      </c>
      <c r="M28" s="13">
        <f>I16</f>
        <v>0.144623</v>
      </c>
      <c r="N28" s="12">
        <f>I18/100</f>
        <v>5.0416999999999997E-3</v>
      </c>
      <c r="O28" s="13">
        <f>I19/100</f>
        <v>3.7885600000000003E-3</v>
      </c>
      <c r="R28" s="25" t="s">
        <v>0</v>
      </c>
      <c r="S28" s="8" t="s">
        <v>4</v>
      </c>
      <c r="T28" s="9" t="s">
        <v>5</v>
      </c>
      <c r="U28" s="10" t="s">
        <v>4</v>
      </c>
      <c r="V28" s="11" t="s">
        <v>5</v>
      </c>
    </row>
    <row r="29" spans="5:22" x14ac:dyDescent="0.55000000000000004">
      <c r="E29" s="7"/>
      <c r="F29" s="14">
        <v>1.114468</v>
      </c>
      <c r="G29" s="15">
        <v>0.122379</v>
      </c>
      <c r="H29" s="14">
        <v>0.50247699999999995</v>
      </c>
      <c r="I29" s="15">
        <v>0.330702</v>
      </c>
      <c r="K29" s="7"/>
      <c r="L29" s="14">
        <f>J15</f>
        <v>1.191308</v>
      </c>
      <c r="M29" s="15">
        <f>J16</f>
        <v>0.14921300000000001</v>
      </c>
      <c r="N29" s="14">
        <f>J18/100</f>
        <v>4.8031699999999998E-3</v>
      </c>
      <c r="O29" s="15">
        <f>J18/100</f>
        <v>4.8031699999999998E-3</v>
      </c>
      <c r="R29" s="7"/>
      <c r="S29" s="12">
        <v>1.4849060000000001</v>
      </c>
      <c r="T29" s="13">
        <v>0.14976800000000001</v>
      </c>
      <c r="U29" s="12">
        <v>0.49475999999999998</v>
      </c>
      <c r="V29" s="13">
        <v>0.36846800000000002</v>
      </c>
    </row>
    <row r="30" spans="5:22" ht="14.7" thickBot="1" x14ac:dyDescent="0.6">
      <c r="E30" s="16"/>
      <c r="F30" s="17">
        <v>1.591029</v>
      </c>
      <c r="G30" s="18">
        <v>0.123172</v>
      </c>
      <c r="H30" s="17">
        <v>0.51345499999999999</v>
      </c>
      <c r="I30" s="18">
        <v>0.40931299999999998</v>
      </c>
      <c r="K30" s="16"/>
      <c r="L30" s="19">
        <f>K15</f>
        <v>1.3242929999999999</v>
      </c>
      <c r="M30" s="18">
        <f>K16</f>
        <v>0.15285199999999999</v>
      </c>
      <c r="N30" s="17">
        <f>K18/100</f>
        <v>4.71157E-3</v>
      </c>
      <c r="O30" s="18">
        <f>K19/100</f>
        <v>2.0658299999999998E-3</v>
      </c>
      <c r="R30" s="7"/>
      <c r="S30" s="14">
        <v>1.114468</v>
      </c>
      <c r="T30" s="15">
        <v>0.122379</v>
      </c>
      <c r="U30" s="14">
        <v>0.50247699999999995</v>
      </c>
      <c r="V30" s="15">
        <v>0.330702</v>
      </c>
    </row>
    <row r="31" spans="5:22" ht="14.7" thickBot="1" x14ac:dyDescent="0.6">
      <c r="E31" s="20" t="s">
        <v>6</v>
      </c>
      <c r="F31" s="21">
        <f>AVERAGE(F28:F30)</f>
        <v>1.396801</v>
      </c>
      <c r="G31" s="22">
        <f t="shared" ref="G31" si="0">AVERAGE(G28:G30)</f>
        <v>0.131773</v>
      </c>
      <c r="H31" s="21">
        <f>AVERAGE(H28:H30)</f>
        <v>0.50356400000000001</v>
      </c>
      <c r="I31" s="22">
        <f>AVERAGE(I28:I30)</f>
        <v>0.36949433333333337</v>
      </c>
      <c r="K31" s="20" t="s">
        <v>6</v>
      </c>
      <c r="L31" s="23">
        <f>AVERAGE(L28:L30)</f>
        <v>1.3279516666666666</v>
      </c>
      <c r="M31" s="22">
        <f t="shared" ref="M31:O31" si="1">AVERAGE(M28:M30)</f>
        <v>0.148896</v>
      </c>
      <c r="N31" s="21">
        <f t="shared" si="1"/>
        <v>4.8521466666666662E-3</v>
      </c>
      <c r="O31" s="22">
        <f t="shared" si="1"/>
        <v>3.55252E-3</v>
      </c>
      <c r="R31" s="16"/>
      <c r="S31" s="17">
        <v>1.591029</v>
      </c>
      <c r="T31" s="18">
        <v>0.123172</v>
      </c>
      <c r="U31" s="17">
        <v>0.51345499999999999</v>
      </c>
      <c r="V31" s="18">
        <v>0.40931299999999998</v>
      </c>
    </row>
    <row r="32" spans="5:22" ht="14.7" thickBot="1" x14ac:dyDescent="0.6">
      <c r="R32" s="20" t="s">
        <v>6</v>
      </c>
      <c r="S32" s="21">
        <f>AVERAGE(S29:S31)</f>
        <v>1.396801</v>
      </c>
      <c r="T32" s="22">
        <f t="shared" ref="T32" si="2">AVERAGE(T29:T31)</f>
        <v>0.131773</v>
      </c>
      <c r="U32" s="21">
        <f>AVERAGE(U29:U31)</f>
        <v>0.50356400000000001</v>
      </c>
      <c r="V32" s="22">
        <f>AVERAGE(V29:V31)</f>
        <v>0.36949433333333337</v>
      </c>
    </row>
    <row r="33" spans="5:22" ht="14.7" customHeight="1" thickBot="1" x14ac:dyDescent="0.6">
      <c r="R33" s="20" t="s">
        <v>18</v>
      </c>
      <c r="S33" s="26">
        <f>S32/$R27</f>
        <v>1.396801E-4</v>
      </c>
      <c r="T33" s="27">
        <f>T32/$R27</f>
        <v>1.31773E-5</v>
      </c>
      <c r="U33" s="26">
        <f>U32/$R27</f>
        <v>5.0356399999999998E-5</v>
      </c>
      <c r="V33" s="28">
        <f>V32/$R27</f>
        <v>3.6949433333333336E-5</v>
      </c>
    </row>
    <row r="34" spans="5:22" ht="14.7" customHeight="1" thickBot="1" x14ac:dyDescent="0.6">
      <c r="E34" s="1" t="s">
        <v>0</v>
      </c>
      <c r="F34" s="2" t="s">
        <v>1</v>
      </c>
      <c r="G34" s="3"/>
      <c r="H34" s="4" t="s">
        <v>2</v>
      </c>
      <c r="I34" s="5"/>
      <c r="K34" s="1" t="s">
        <v>3</v>
      </c>
      <c r="L34" s="2" t="s">
        <v>1</v>
      </c>
      <c r="M34" s="3"/>
      <c r="N34" s="3" t="s">
        <v>2</v>
      </c>
      <c r="O34" s="6"/>
    </row>
    <row r="35" spans="5:22" ht="14.7" customHeight="1" thickBot="1" x14ac:dyDescent="0.6">
      <c r="E35" s="7"/>
      <c r="F35" s="8" t="s">
        <v>4</v>
      </c>
      <c r="G35" s="9" t="s">
        <v>5</v>
      </c>
      <c r="H35" s="10" t="s">
        <v>4</v>
      </c>
      <c r="I35" s="11" t="s">
        <v>5</v>
      </c>
      <c r="K35" s="7"/>
      <c r="L35" s="8" t="s">
        <v>4</v>
      </c>
      <c r="M35" s="9" t="s">
        <v>5</v>
      </c>
      <c r="N35" s="10" t="s">
        <v>4</v>
      </c>
      <c r="O35" s="11" t="s">
        <v>5</v>
      </c>
      <c r="R35" s="24">
        <v>10000</v>
      </c>
      <c r="S35" s="30" t="s">
        <v>1</v>
      </c>
      <c r="T35" s="29"/>
      <c r="U35" s="29" t="s">
        <v>2</v>
      </c>
      <c r="V35" s="5"/>
    </row>
    <row r="36" spans="5:22" ht="14.7" customHeight="1" thickBot="1" x14ac:dyDescent="0.6">
      <c r="E36" s="7"/>
      <c r="F36" s="12">
        <f>E7</f>
        <v>0.145263</v>
      </c>
      <c r="G36" s="12">
        <f>E8</f>
        <v>5.8760000000000001E-3</v>
      </c>
      <c r="H36" s="12">
        <f>E20</f>
        <v>0.37212600000000001</v>
      </c>
      <c r="I36" s="13">
        <f>E21</f>
        <v>1.0330000000000001E-3</v>
      </c>
      <c r="K36" s="7"/>
      <c r="L36" s="12">
        <f>E15</f>
        <v>0.16824700000000001</v>
      </c>
      <c r="M36" s="13">
        <f>E16</f>
        <v>5.4689999999999999E-3</v>
      </c>
      <c r="N36" s="12">
        <f>E15</f>
        <v>0.16824700000000001</v>
      </c>
      <c r="O36" s="13">
        <f>E16</f>
        <v>5.4689999999999999E-3</v>
      </c>
      <c r="R36" s="25" t="s">
        <v>3</v>
      </c>
      <c r="S36" s="8" t="s">
        <v>4</v>
      </c>
      <c r="T36" s="9" t="s">
        <v>5</v>
      </c>
      <c r="U36" s="10" t="s">
        <v>4</v>
      </c>
      <c r="V36" s="11" t="s">
        <v>5</v>
      </c>
    </row>
    <row r="37" spans="5:22" x14ac:dyDescent="0.55000000000000004">
      <c r="E37" s="7"/>
      <c r="F37" s="14">
        <f>F7</f>
        <v>0.127555</v>
      </c>
      <c r="G37" s="14">
        <f>F8</f>
        <v>6.4850000000000003E-3</v>
      </c>
      <c r="H37" s="14">
        <f>F20</f>
        <v>0.37162800000000001</v>
      </c>
      <c r="I37" s="15">
        <f>F21</f>
        <v>8.711E-3</v>
      </c>
      <c r="K37" s="7"/>
      <c r="L37" s="14">
        <f>F15</f>
        <v>0.18018899999999999</v>
      </c>
      <c r="M37" s="15">
        <f>F16</f>
        <v>6.1279999999999998E-3</v>
      </c>
      <c r="N37" s="14">
        <f>F15</f>
        <v>0.18018899999999999</v>
      </c>
      <c r="O37" s="15">
        <f>F16</f>
        <v>6.1279999999999998E-3</v>
      </c>
      <c r="R37" s="7"/>
      <c r="S37" s="12">
        <f>I15</f>
        <v>1.4682539999999999</v>
      </c>
      <c r="T37" s="13">
        <f>I16</f>
        <v>0.144623</v>
      </c>
      <c r="U37" s="12">
        <f>I18/100</f>
        <v>5.0416999999999997E-3</v>
      </c>
      <c r="V37" s="13">
        <f>I19/100</f>
        <v>3.7885600000000003E-3</v>
      </c>
    </row>
    <row r="38" spans="5:22" ht="14.7" thickBot="1" x14ac:dyDescent="0.6">
      <c r="E38" s="16"/>
      <c r="F38" s="17">
        <f>G7</f>
        <v>0.132134</v>
      </c>
      <c r="G38" s="17">
        <f>G8</f>
        <v>7.5960000000000003E-3</v>
      </c>
      <c r="H38" s="17">
        <f>G20</f>
        <v>0.32568900000000001</v>
      </c>
      <c r="I38" s="18">
        <f>G21</f>
        <v>1.4339999999999999E-3</v>
      </c>
      <c r="K38" s="16"/>
      <c r="L38" s="19">
        <f>G15</f>
        <v>0.16584299999999999</v>
      </c>
      <c r="M38" s="18">
        <f>G16</f>
        <v>6.8339999999999998E-3</v>
      </c>
      <c r="N38" s="17">
        <f>G15</f>
        <v>0.16584299999999999</v>
      </c>
      <c r="O38" s="18">
        <f>G16</f>
        <v>6.8339999999999998E-3</v>
      </c>
      <c r="R38" s="7"/>
      <c r="S38" s="14">
        <f>J15</f>
        <v>1.191308</v>
      </c>
      <c r="T38" s="15">
        <f>J16</f>
        <v>0.14921300000000001</v>
      </c>
      <c r="U38" s="14">
        <f>J18/100</f>
        <v>4.8031699999999998E-3</v>
      </c>
      <c r="V38" s="15">
        <f>J18/100</f>
        <v>4.8031699999999998E-3</v>
      </c>
    </row>
    <row r="39" spans="5:22" ht="14.7" thickBot="1" x14ac:dyDescent="0.6">
      <c r="E39" s="20" t="s">
        <v>6</v>
      </c>
      <c r="F39" s="21">
        <f>AVERAGE(F36:F38)</f>
        <v>0.13498399999999999</v>
      </c>
      <c r="G39" s="22">
        <f t="shared" ref="G39:I39" si="3">AVERAGE(G36:G38)</f>
        <v>6.6523333333333339E-3</v>
      </c>
      <c r="H39" s="22">
        <f t="shared" si="3"/>
        <v>0.35648100000000005</v>
      </c>
      <c r="I39" s="22">
        <f t="shared" si="3"/>
        <v>3.7259999999999997E-3</v>
      </c>
      <c r="K39" s="20" t="s">
        <v>6</v>
      </c>
      <c r="L39" s="21">
        <f>AVERAGE(L36:L38)</f>
        <v>0.17142633333333332</v>
      </c>
      <c r="M39" s="22">
        <f t="shared" ref="M39:O39" si="4">AVERAGE(M36:M38)</f>
        <v>6.1436666666666662E-3</v>
      </c>
      <c r="N39" s="22">
        <f t="shared" si="4"/>
        <v>0.17142633333333332</v>
      </c>
      <c r="O39" s="22">
        <f t="shared" si="4"/>
        <v>6.1436666666666662E-3</v>
      </c>
      <c r="R39" s="16"/>
      <c r="S39" s="19">
        <f>K15</f>
        <v>1.3242929999999999</v>
      </c>
      <c r="T39" s="18">
        <f>K16</f>
        <v>0.15285199999999999</v>
      </c>
      <c r="U39" s="17">
        <f>K18/100</f>
        <v>4.71157E-3</v>
      </c>
      <c r="V39" s="18">
        <f>K19/100</f>
        <v>2.0658299999999998E-3</v>
      </c>
    </row>
    <row r="40" spans="5:22" ht="14.7" thickBot="1" x14ac:dyDescent="0.6">
      <c r="R40" s="20" t="s">
        <v>6</v>
      </c>
      <c r="S40" s="23">
        <f>AVERAGE(S37:S39)</f>
        <v>1.3279516666666666</v>
      </c>
      <c r="T40" s="22">
        <f t="shared" ref="T40:V40" si="5">AVERAGE(T37:T39)</f>
        <v>0.148896</v>
      </c>
      <c r="U40" s="21">
        <f t="shared" si="5"/>
        <v>4.8521466666666662E-3</v>
      </c>
      <c r="V40" s="22">
        <f t="shared" si="5"/>
        <v>3.55252E-3</v>
      </c>
    </row>
    <row r="41" spans="5:22" ht="14.7" thickBot="1" x14ac:dyDescent="0.6">
      <c r="R41" s="20" t="s">
        <v>18</v>
      </c>
      <c r="S41" s="26">
        <f>S40/$R35</f>
        <v>1.3279516666666667E-4</v>
      </c>
      <c r="T41" s="27">
        <f>T40/$R35</f>
        <v>1.4889600000000001E-5</v>
      </c>
      <c r="U41" s="26">
        <f>U40/$R35</f>
        <v>4.8521466666666657E-7</v>
      </c>
      <c r="V41" s="28">
        <f>V40/$R35</f>
        <v>3.5525200000000001E-7</v>
      </c>
    </row>
    <row r="42" spans="5:22" ht="14.7" thickBot="1" x14ac:dyDescent="0.6"/>
    <row r="43" spans="5:22" ht="14.7" thickBot="1" x14ac:dyDescent="0.6">
      <c r="R43" s="24">
        <v>1000</v>
      </c>
      <c r="S43" s="2" t="s">
        <v>8</v>
      </c>
      <c r="T43" s="3"/>
      <c r="U43" s="4" t="s">
        <v>17</v>
      </c>
      <c r="V43" s="5"/>
    </row>
    <row r="44" spans="5:22" ht="14.7" thickBot="1" x14ac:dyDescent="0.6">
      <c r="R44" s="25" t="s">
        <v>0</v>
      </c>
      <c r="S44" s="8" t="s">
        <v>4</v>
      </c>
      <c r="T44" s="9" t="s">
        <v>5</v>
      </c>
      <c r="U44" s="10" t="s">
        <v>4</v>
      </c>
      <c r="V44" s="11" t="s">
        <v>5</v>
      </c>
    </row>
    <row r="45" spans="5:22" x14ac:dyDescent="0.55000000000000004">
      <c r="R45" s="7"/>
      <c r="S45" s="12">
        <f>E7</f>
        <v>0.145263</v>
      </c>
      <c r="T45" s="12">
        <f>E8</f>
        <v>5.8760000000000001E-3</v>
      </c>
      <c r="U45" s="12">
        <f>E20</f>
        <v>0.37212600000000001</v>
      </c>
      <c r="V45" s="13">
        <f>E21</f>
        <v>1.0330000000000001E-3</v>
      </c>
    </row>
    <row r="46" spans="5:22" x14ac:dyDescent="0.55000000000000004">
      <c r="R46" s="7"/>
      <c r="S46" s="14">
        <f>F7</f>
        <v>0.127555</v>
      </c>
      <c r="T46" s="14">
        <f>F8</f>
        <v>6.4850000000000003E-3</v>
      </c>
      <c r="U46" s="14">
        <f>F20</f>
        <v>0.37162800000000001</v>
      </c>
      <c r="V46" s="15">
        <f>F21</f>
        <v>8.711E-3</v>
      </c>
    </row>
    <row r="47" spans="5:22" ht="14.7" thickBot="1" x14ac:dyDescent="0.6">
      <c r="R47" s="16"/>
      <c r="S47" s="17">
        <f>G7</f>
        <v>0.132134</v>
      </c>
      <c r="T47" s="17">
        <f>G8</f>
        <v>7.5960000000000003E-3</v>
      </c>
      <c r="U47" s="17">
        <f>G20</f>
        <v>0.32568900000000001</v>
      </c>
      <c r="V47" s="18">
        <f>G21</f>
        <v>1.4339999999999999E-3</v>
      </c>
    </row>
    <row r="48" spans="5:22" ht="14.7" thickBot="1" x14ac:dyDescent="0.6">
      <c r="R48" s="20" t="s">
        <v>6</v>
      </c>
      <c r="S48" s="21">
        <f>AVERAGE(S45:S47)</f>
        <v>0.13498399999999999</v>
      </c>
      <c r="T48" s="22">
        <f>AVERAGE(T45:T47)</f>
        <v>6.6523333333333339E-3</v>
      </c>
      <c r="U48" s="22">
        <f>AVERAGE(U45:U47)</f>
        <v>0.35648100000000005</v>
      </c>
      <c r="V48" s="22">
        <f>AVERAGE(V45:V47)</f>
        <v>3.7259999999999997E-3</v>
      </c>
    </row>
    <row r="49" spans="18:22" ht="14.7" thickBot="1" x14ac:dyDescent="0.6">
      <c r="R49" s="20" t="s">
        <v>18</v>
      </c>
      <c r="S49" s="26">
        <f>S48/$R43</f>
        <v>1.3498399999999999E-4</v>
      </c>
      <c r="T49" s="27">
        <f>T48/$R43</f>
        <v>6.6523333333333341E-6</v>
      </c>
      <c r="U49" s="26">
        <f>U48/$R43</f>
        <v>3.5648100000000007E-4</v>
      </c>
      <c r="V49" s="28">
        <f>V48/$R43</f>
        <v>3.7259999999999996E-6</v>
      </c>
    </row>
    <row r="50" spans="18:22" ht="14.7" thickBot="1" x14ac:dyDescent="0.6"/>
    <row r="51" spans="18:22" ht="14.7" thickBot="1" x14ac:dyDescent="0.6">
      <c r="R51" s="24">
        <v>1000</v>
      </c>
      <c r="S51" s="2" t="s">
        <v>8</v>
      </c>
      <c r="T51" s="3"/>
      <c r="U51" s="4" t="s">
        <v>17</v>
      </c>
      <c r="V51" s="5"/>
    </row>
    <row r="52" spans="18:22" ht="14.7" thickBot="1" x14ac:dyDescent="0.6">
      <c r="R52" s="25" t="s">
        <v>3</v>
      </c>
      <c r="S52" s="8" t="s">
        <v>4</v>
      </c>
      <c r="T52" s="9" t="s">
        <v>5</v>
      </c>
      <c r="U52" s="10" t="s">
        <v>4</v>
      </c>
      <c r="V52" s="11" t="s">
        <v>5</v>
      </c>
    </row>
    <row r="53" spans="18:22" x14ac:dyDescent="0.55000000000000004">
      <c r="R53" s="7"/>
      <c r="S53" s="12">
        <f>E11</f>
        <v>0.12202399999999999</v>
      </c>
      <c r="T53" s="13">
        <f>E12</f>
        <v>4.1619999999999999E-3</v>
      </c>
      <c r="U53" s="12">
        <f>E15</f>
        <v>0.16824700000000001</v>
      </c>
      <c r="V53" s="13">
        <f>E16</f>
        <v>5.4689999999999999E-3</v>
      </c>
    </row>
    <row r="54" spans="18:22" x14ac:dyDescent="0.55000000000000004">
      <c r="R54" s="7"/>
      <c r="S54" s="14">
        <f>F11</f>
        <v>0.12538099999999999</v>
      </c>
      <c r="T54" s="15">
        <f>F12</f>
        <v>2.849E-3</v>
      </c>
      <c r="U54" s="14">
        <f>F15</f>
        <v>0.18018899999999999</v>
      </c>
      <c r="V54" s="15">
        <f>F16</f>
        <v>6.1279999999999998E-3</v>
      </c>
    </row>
    <row r="55" spans="18:22" ht="14.7" thickBot="1" x14ac:dyDescent="0.6">
      <c r="R55" s="16"/>
      <c r="S55" s="19">
        <f>G11</f>
        <v>0.16824700000000001</v>
      </c>
      <c r="T55" s="18">
        <f>G12</f>
        <v>5.4689999999999999E-3</v>
      </c>
      <c r="U55" s="17">
        <f>G15</f>
        <v>0.16584299999999999</v>
      </c>
      <c r="V55" s="18">
        <f>G16</f>
        <v>6.8339999999999998E-3</v>
      </c>
    </row>
    <row r="56" spans="18:22" ht="14.7" thickBot="1" x14ac:dyDescent="0.6">
      <c r="R56" s="20" t="s">
        <v>6</v>
      </c>
      <c r="S56" s="21">
        <f>AVERAGE(S53:S55)</f>
        <v>0.13855066666666668</v>
      </c>
      <c r="T56" s="22">
        <f>AVERAGE(T53:T55)</f>
        <v>4.1599999999999996E-3</v>
      </c>
      <c r="U56" s="22">
        <f>AVERAGE(U53:U55)</f>
        <v>0.17142633333333332</v>
      </c>
      <c r="V56" s="22">
        <f>AVERAGE(V53:V55)</f>
        <v>6.1436666666666662E-3</v>
      </c>
    </row>
    <row r="57" spans="18:22" ht="14.7" thickBot="1" x14ac:dyDescent="0.6">
      <c r="R57" s="20" t="s">
        <v>18</v>
      </c>
      <c r="S57" s="26">
        <f>S56/$R51</f>
        <v>1.3855066666666667E-4</v>
      </c>
      <c r="T57" s="27">
        <f>T56/$R51</f>
        <v>4.16E-6</v>
      </c>
      <c r="U57" s="26">
        <f>U56/$R51</f>
        <v>1.7142633333333332E-4</v>
      </c>
      <c r="V57" s="28">
        <f>V56/$R51</f>
        <v>6.1436666666666659E-6</v>
      </c>
    </row>
  </sheetData>
  <mergeCells count="24">
    <mergeCell ref="N26:O26"/>
    <mergeCell ref="F34:G34"/>
    <mergeCell ref="H34:I34"/>
    <mergeCell ref="L34:M34"/>
    <mergeCell ref="N34:O34"/>
    <mergeCell ref="E34:E38"/>
    <mergeCell ref="S43:T43"/>
    <mergeCell ref="U43:V43"/>
    <mergeCell ref="K34:K38"/>
    <mergeCell ref="S51:T51"/>
    <mergeCell ref="U51:V51"/>
    <mergeCell ref="R44:R47"/>
    <mergeCell ref="R52:R55"/>
    <mergeCell ref="F26:G26"/>
    <mergeCell ref="E26:E30"/>
    <mergeCell ref="S27:T27"/>
    <mergeCell ref="U27:V27"/>
    <mergeCell ref="K26:K30"/>
    <mergeCell ref="S35:T35"/>
    <mergeCell ref="U35:V35"/>
    <mergeCell ref="R36:R39"/>
    <mergeCell ref="R28:R31"/>
    <mergeCell ref="H26:I26"/>
    <mergeCell ref="L26:M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Kubicki</dc:creator>
  <cp:lastModifiedBy>Marek Kubicki</cp:lastModifiedBy>
  <dcterms:created xsi:type="dcterms:W3CDTF">2024-10-20T21:49:29Z</dcterms:created>
  <dcterms:modified xsi:type="dcterms:W3CDTF">2024-10-20T22:16:44Z</dcterms:modified>
</cp:coreProperties>
</file>