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2A74DCC4-1207-4463-9D90-B9C698407FBE}" xr6:coauthVersionLast="47" xr6:coauthVersionMax="47" xr10:uidLastSave="{00000000-0000-0000-0000-000000000000}"/>
  <bookViews>
    <workbookView xWindow="11520" yWindow="0" windowWidth="11520" windowHeight="12360" firstSheet="2" activeTab="4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K9" i="4"/>
  <c r="I9" i="4"/>
  <c r="K6" i="4"/>
  <c r="J6" i="4"/>
  <c r="I6" i="4"/>
  <c r="J3" i="4"/>
  <c r="K3" i="4"/>
  <c r="I3" i="4"/>
  <c r="K11" i="4"/>
  <c r="L11" i="4"/>
  <c r="L10" i="4"/>
  <c r="L9" i="4"/>
  <c r="J10" i="4"/>
  <c r="K10" i="4"/>
  <c r="I10" i="4"/>
  <c r="L8" i="4"/>
  <c r="K8" i="4" s="1"/>
  <c r="L7" i="4"/>
  <c r="L6" i="4"/>
  <c r="J7" i="4"/>
  <c r="K7" i="4"/>
  <c r="I7" i="4"/>
  <c r="J4" i="4"/>
  <c r="K4" i="4"/>
  <c r="I4" i="4"/>
  <c r="L5" i="4"/>
  <c r="K5" i="4" s="1"/>
  <c r="L4" i="4"/>
  <c r="L3" i="4"/>
  <c r="H11" i="4"/>
  <c r="G11" i="4" s="1"/>
  <c r="H10" i="4"/>
  <c r="H9" i="4"/>
  <c r="F10" i="4"/>
  <c r="G10" i="4"/>
  <c r="E10" i="4"/>
  <c r="G9" i="4"/>
  <c r="F9" i="4"/>
  <c r="E9" i="4"/>
  <c r="F7" i="4"/>
  <c r="G7" i="4"/>
  <c r="E7" i="4"/>
  <c r="F4" i="4"/>
  <c r="G4" i="4"/>
  <c r="E4" i="4"/>
  <c r="H8" i="4"/>
  <c r="G8" i="4" s="1"/>
  <c r="H7" i="4"/>
  <c r="H6" i="4"/>
  <c r="F6" i="4"/>
  <c r="G6" i="4"/>
  <c r="E6" i="4"/>
  <c r="H5" i="4"/>
  <c r="G5" i="4" s="1"/>
  <c r="H4" i="4"/>
  <c r="H3" i="4"/>
  <c r="F3" i="4"/>
  <c r="G3" i="4"/>
  <c r="E3" i="4"/>
  <c r="C9" i="4"/>
  <c r="C6" i="4"/>
  <c r="B6" i="4"/>
  <c r="C3" i="4"/>
  <c r="B9" i="4"/>
  <c r="B3" i="4"/>
</calcChain>
</file>

<file path=xl/sharedStrings.xml><?xml version="1.0" encoding="utf-8"?>
<sst xmlns="http://schemas.openxmlformats.org/spreadsheetml/2006/main" count="671" uniqueCount="35">
  <si>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</si>
  <si>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</si>
  <si>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</si>
  <si>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</si>
  <si>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</si>
  <si>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</si>
  <si>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</si>
  <si>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</si>
  <si>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</si>
  <si>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</si>
  <si>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</si>
  <si>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</si>
  <si>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</si>
  <si>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</si>
  <si>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t</t>
  </si>
  <si>
    <t>VA</t>
  </si>
  <si>
    <t>VB</t>
  </si>
  <si>
    <t>TB</t>
  </si>
  <si>
    <t>Fibonacci</t>
  </si>
  <si>
    <t>Lagrange</t>
  </si>
  <si>
    <t>DA*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</si>
  <si>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</si>
  <si>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</si>
  <si>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</si>
  <si>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</si>
  <si>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</si>
  <si>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</si>
  <si>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t>glob</t>
  </si>
  <si>
    <t>loc</t>
  </si>
  <si>
    <t>1.20000</t>
  </si>
  <si>
    <t>1.50000</t>
  </si>
  <si>
    <t>2.00000</t>
  </si>
  <si>
    <t>brak</t>
  </si>
  <si>
    <t>]</t>
  </si>
  <si>
    <t>9272984733,520845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</si>
</sst>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4" xfId="0" applyBorder="1"/>
    <xf numFmtId="0" fontId="0" fillId="0" borderId="17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2" xfId="0" applyBorder="1"/>
    <xf numFmtId="0" fontId="0" fillId="0" borderId="15" xfId="0" applyBorder="1"/>
    <xf numFmtId="0" fontId="0" fillId="0" borderId="2" xfId="0" applyBorder="1"/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3" xfId="0" applyBorder="1"/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19" xfId="0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4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/>
    <xf numFmtId="0" fontId="0" fillId="0" borderId="51" xfId="0" applyBorder="1"/>
    <xf numFmtId="0" fontId="0" fillId="0" borderId="50" xfId="0" applyBorder="1"/>
    <xf numFmtId="0" fontId="0" fillId="0" borderId="1" xfId="0" quotePrefix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opLeftCell="J166" workbookViewId="0">
      <selection activeCell="N304" sqref="N304"/>
    </sheetView>
  </sheetViews>
  <sheetFormatPr defaultRowHeight="14.4" x14ac:dyDescent="0.55000000000000004"/>
  <cols>
    <col min="1" max="1" width="15.68359375" customWidth="1"/>
    <col min="2" max="2" width="5.68359375" customWidth="1"/>
    <col min="3" max="14" width="17.68359375" customWidth="1"/>
  </cols>
  <sheetData>
    <row r="1" spans="1:14" ht="30" customHeight="1" x14ac:dyDescent="0.55000000000000004">
      <c r="A1" s="46" t="s">
        <v>6</v>
      </c>
      <c r="B1" s="47"/>
      <c r="C1" s="47"/>
      <c r="D1" s="47"/>
      <c r="E1" s="47"/>
      <c r="F1" s="48"/>
      <c r="G1" s="46" t="s">
        <v>8</v>
      </c>
      <c r="H1" s="47"/>
      <c r="I1" s="48"/>
      <c r="J1" s="54"/>
      <c r="K1" s="42" t="s">
        <v>9</v>
      </c>
      <c r="L1" s="43"/>
      <c r="M1" s="44"/>
      <c r="N1" s="45"/>
    </row>
    <row r="2" spans="1:14" ht="30" customHeight="1" thickBot="1" x14ac:dyDescent="0.6">
      <c r="A2" s="5" t="s">
        <v>0</v>
      </c>
      <c r="B2" s="6" t="s">
        <v>1</v>
      </c>
      <c r="C2" s="22" t="s">
        <v>2</v>
      </c>
      <c r="D2" s="38" t="s">
        <v>4</v>
      </c>
      <c r="E2" s="38" t="s">
        <v>5</v>
      </c>
      <c r="F2" s="32" t="s">
        <v>3</v>
      </c>
      <c r="G2" s="23" t="s">
        <v>10</v>
      </c>
      <c r="H2" s="22" t="s">
        <v>11</v>
      </c>
      <c r="I2" s="32" t="s">
        <v>3</v>
      </c>
      <c r="J2" s="24" t="s">
        <v>24</v>
      </c>
      <c r="K2" s="23" t="s">
        <v>10</v>
      </c>
      <c r="L2" s="22" t="s">
        <v>11</v>
      </c>
      <c r="M2" s="32" t="s">
        <v>3</v>
      </c>
      <c r="N2" s="24" t="s">
        <v>24</v>
      </c>
    </row>
    <row r="3" spans="1:14" x14ac:dyDescent="0.55000000000000004">
      <c r="A3" s="49">
        <v>1.2830010000000001</v>
      </c>
      <c r="B3" s="10">
        <v>1</v>
      </c>
      <c r="C3" s="1">
        <v>13.98</v>
      </c>
      <c r="D3" s="1">
        <v>-5.9140839999999999</v>
      </c>
      <c r="E3" s="1">
        <v>1.894352</v>
      </c>
      <c r="F3" s="1">
        <v>16</v>
      </c>
      <c r="G3" s="1">
        <v>-4.3559999999999996E-3</v>
      </c>
      <c r="H3" s="1">
        <v>0</v>
      </c>
      <c r="I3" s="1">
        <v>25</v>
      </c>
      <c r="J3" s="1" t="s">
        <v>28</v>
      </c>
      <c r="K3" s="1">
        <v>6.0619999999999997E-3</v>
      </c>
      <c r="L3" s="1">
        <v>0</v>
      </c>
      <c r="M3" s="1">
        <v>12</v>
      </c>
      <c r="N3" s="1" t="s">
        <v>28</v>
      </c>
    </row>
    <row r="4" spans="1:14" x14ac:dyDescent="0.55000000000000004">
      <c r="A4" s="50"/>
      <c r="B4" s="1">
        <v>2</v>
      </c>
      <c r="C4" s="1">
        <v>31.57</v>
      </c>
      <c r="D4" s="1">
        <v>-10.445054000000001</v>
      </c>
      <c r="E4" s="1">
        <v>6.045871</v>
      </c>
      <c r="F4" s="1">
        <v>18</v>
      </c>
      <c r="G4" s="1">
        <v>2.1770000000000001E-3</v>
      </c>
      <c r="H4" s="1">
        <v>0</v>
      </c>
      <c r="I4" s="1">
        <v>29</v>
      </c>
      <c r="J4" s="1" t="s">
        <v>28</v>
      </c>
      <c r="K4" s="1">
        <v>-13.010934000000001</v>
      </c>
      <c r="L4" s="1">
        <v>3.3860000000000001E-3</v>
      </c>
      <c r="M4" s="1">
        <v>13</v>
      </c>
      <c r="N4" s="1" t="s">
        <v>32</v>
      </c>
    </row>
    <row r="5" spans="1:14" x14ac:dyDescent="0.55000000000000004">
      <c r="A5" s="50"/>
      <c r="B5" s="1">
        <v>3</v>
      </c>
      <c r="C5" s="1">
        <v>-45.74</v>
      </c>
      <c r="D5" s="1">
        <v>-12.992516999999999</v>
      </c>
      <c r="E5" s="1">
        <v>8.1653559999999992</v>
      </c>
      <c r="F5" s="1">
        <v>18</v>
      </c>
      <c r="G5" s="1">
        <v>1.8890000000000001E-3</v>
      </c>
      <c r="H5" s="1">
        <v>0</v>
      </c>
      <c r="I5" s="1">
        <v>29</v>
      </c>
      <c r="J5" s="1" t="s">
        <v>28</v>
      </c>
      <c r="K5" s="1">
        <v>-12.783619</v>
      </c>
      <c r="L5" s="1">
        <v>3.2680000000000001E-3</v>
      </c>
      <c r="M5" s="1">
        <v>13</v>
      </c>
      <c r="N5" s="1" t="s">
        <v>32</v>
      </c>
    </row>
    <row r="6" spans="1:14" x14ac:dyDescent="0.55000000000000004">
      <c r="A6" s="50"/>
      <c r="B6" s="1">
        <v>4</v>
      </c>
      <c r="C6" s="1">
        <v>91.03</v>
      </c>
      <c r="D6" s="1">
        <v>58.282516999999999</v>
      </c>
      <c r="E6" s="1">
        <v>71.135915999999995</v>
      </c>
      <c r="F6" s="1">
        <v>17</v>
      </c>
      <c r="G6" s="1">
        <v>62.741366999999997</v>
      </c>
      <c r="H6" s="1">
        <v>-0.92114799999999997</v>
      </c>
      <c r="I6" s="1">
        <v>27</v>
      </c>
      <c r="J6" s="1" t="s">
        <v>27</v>
      </c>
      <c r="K6" s="1">
        <v>-347.10038200000002</v>
      </c>
      <c r="L6" s="1">
        <v>2.4095740000000001</v>
      </c>
      <c r="M6" s="1">
        <v>5</v>
      </c>
      <c r="N6" s="1" t="s">
        <v>32</v>
      </c>
    </row>
    <row r="7" spans="1:14" x14ac:dyDescent="0.55000000000000004">
      <c r="A7" s="50"/>
      <c r="B7" s="1">
        <v>5</v>
      </c>
      <c r="C7" s="1">
        <v>-14.44</v>
      </c>
      <c r="D7" s="1">
        <v>-2.354352</v>
      </c>
      <c r="E7" s="1">
        <v>5.4540839999999999</v>
      </c>
      <c r="F7" s="1">
        <v>14</v>
      </c>
      <c r="G7" s="1">
        <v>-4.7010000000000003E-3</v>
      </c>
      <c r="H7" s="1">
        <v>0</v>
      </c>
      <c r="I7" s="1">
        <v>25</v>
      </c>
      <c r="J7" s="1" t="s">
        <v>28</v>
      </c>
      <c r="K7" s="1">
        <v>-0.41160999999999998</v>
      </c>
      <c r="L7" s="1">
        <v>3.0000000000000001E-6</v>
      </c>
      <c r="M7" s="1">
        <v>13</v>
      </c>
      <c r="N7" s="1" t="s">
        <v>28</v>
      </c>
    </row>
    <row r="8" spans="1:14" x14ac:dyDescent="0.55000000000000004">
      <c r="A8" s="50"/>
      <c r="B8" s="1">
        <v>6</v>
      </c>
      <c r="C8" s="1">
        <v>-51.46</v>
      </c>
      <c r="D8" s="1">
        <v>-9.4449459999999998</v>
      </c>
      <c r="E8" s="1">
        <v>17.700626</v>
      </c>
      <c r="F8" s="1">
        <v>19</v>
      </c>
      <c r="G8" s="1">
        <v>-4.7019999999999996E-3</v>
      </c>
      <c r="H8" s="1">
        <v>0</v>
      </c>
      <c r="I8" s="1">
        <v>31</v>
      </c>
      <c r="J8" s="1" t="s">
        <v>28</v>
      </c>
      <c r="K8" s="1">
        <v>-1.7356119999999999</v>
      </c>
      <c r="L8" s="1">
        <v>6.0000000000000002E-5</v>
      </c>
      <c r="M8" s="1">
        <v>13</v>
      </c>
      <c r="N8" s="1" t="s">
        <v>32</v>
      </c>
    </row>
    <row r="9" spans="1:14" x14ac:dyDescent="0.55000000000000004">
      <c r="A9" s="50"/>
      <c r="B9" s="1">
        <v>7</v>
      </c>
      <c r="C9" s="1">
        <v>-76.44</v>
      </c>
      <c r="D9" s="1">
        <v>-22.534644</v>
      </c>
      <c r="E9" s="1">
        <v>12.293151999999999</v>
      </c>
      <c r="F9" s="1">
        <v>20</v>
      </c>
      <c r="G9" s="1">
        <v>-1.951E-3</v>
      </c>
      <c r="H9" s="1">
        <v>0</v>
      </c>
      <c r="I9" s="1">
        <v>31</v>
      </c>
      <c r="J9" s="1" t="s">
        <v>28</v>
      </c>
      <c r="K9" s="1">
        <v>-5.6723650000000001</v>
      </c>
      <c r="L9" s="1">
        <v>6.4400000000000004E-4</v>
      </c>
      <c r="M9" s="1">
        <v>13</v>
      </c>
      <c r="N9" s="1" t="s">
        <v>32</v>
      </c>
    </row>
    <row r="10" spans="1:14" x14ac:dyDescent="0.55000000000000004">
      <c r="A10" s="50"/>
      <c r="B10" s="1">
        <v>8</v>
      </c>
      <c r="C10" s="1">
        <v>-57.51</v>
      </c>
      <c r="D10" s="1">
        <v>-15.494946000000001</v>
      </c>
      <c r="E10" s="1">
        <v>11.650626000000001</v>
      </c>
      <c r="F10" s="1">
        <v>19</v>
      </c>
      <c r="G10" s="1">
        <v>-3.5959999999999998E-3</v>
      </c>
      <c r="H10" s="1">
        <v>0</v>
      </c>
      <c r="I10" s="1">
        <v>31</v>
      </c>
      <c r="J10" s="1" t="s">
        <v>28</v>
      </c>
      <c r="K10" s="1">
        <v>-20.884443000000001</v>
      </c>
      <c r="L10" s="1">
        <v>8.7229999999999999E-3</v>
      </c>
      <c r="M10" s="1">
        <v>13</v>
      </c>
      <c r="N10" s="1" t="s">
        <v>32</v>
      </c>
    </row>
    <row r="11" spans="1:14" x14ac:dyDescent="0.55000000000000004">
      <c r="A11" s="50"/>
      <c r="B11" s="1">
        <v>9</v>
      </c>
      <c r="C11" s="1">
        <v>-23.87</v>
      </c>
      <c r="D11" s="1">
        <v>-3.9759159999999998</v>
      </c>
      <c r="E11" s="1">
        <v>8.8774829999999998</v>
      </c>
      <c r="F11" s="1">
        <v>16</v>
      </c>
      <c r="G11" s="1">
        <v>-8.0230000000000006E-3</v>
      </c>
      <c r="H11" s="1">
        <v>0</v>
      </c>
      <c r="I11" s="1">
        <v>27</v>
      </c>
      <c r="J11" s="1" t="s">
        <v>28</v>
      </c>
      <c r="K11" s="1">
        <v>-1.54461</v>
      </c>
      <c r="L11" s="1">
        <v>4.8000000000000001E-5</v>
      </c>
      <c r="M11" s="1">
        <v>13</v>
      </c>
      <c r="N11" s="1" t="s">
        <v>32</v>
      </c>
    </row>
    <row r="12" spans="1:14" x14ac:dyDescent="0.55000000000000004">
      <c r="A12" s="50"/>
      <c r="B12" s="1">
        <v>10</v>
      </c>
      <c r="C12" s="1">
        <v>-42.35</v>
      </c>
      <c r="D12" s="1">
        <v>-9.6025170000000006</v>
      </c>
      <c r="E12" s="1">
        <v>11.555356</v>
      </c>
      <c r="F12" s="1">
        <v>18</v>
      </c>
      <c r="G12" s="1">
        <v>2.0439999999999998E-3</v>
      </c>
      <c r="H12" s="1">
        <v>0</v>
      </c>
      <c r="I12" s="1">
        <v>29</v>
      </c>
      <c r="J12" s="1" t="s">
        <v>28</v>
      </c>
      <c r="K12" s="1">
        <v>-1.4937000000000001E-2</v>
      </c>
      <c r="L12" s="1">
        <v>0</v>
      </c>
      <c r="M12" s="1">
        <v>10</v>
      </c>
      <c r="N12" s="1" t="s">
        <v>28</v>
      </c>
    </row>
    <row r="13" spans="1:14" x14ac:dyDescent="0.55000000000000004">
      <c r="A13" s="50"/>
      <c r="B13" s="1">
        <v>11</v>
      </c>
      <c r="C13" s="1">
        <v>46.93</v>
      </c>
      <c r="D13" s="1">
        <v>59.015647999999999</v>
      </c>
      <c r="E13" s="1">
        <v>66.824083999999999</v>
      </c>
      <c r="F13" s="1">
        <v>14</v>
      </c>
      <c r="G13" s="1">
        <v>62.749772999999998</v>
      </c>
      <c r="H13" s="1">
        <v>-0.92114799999999997</v>
      </c>
      <c r="I13" s="1">
        <v>25</v>
      </c>
      <c r="J13" s="1" t="s">
        <v>27</v>
      </c>
      <c r="K13" s="1">
        <v>-1213.2084789999999</v>
      </c>
      <c r="L13" s="1">
        <v>29.437495999999999</v>
      </c>
      <c r="M13" s="1">
        <v>5</v>
      </c>
      <c r="N13" s="1" t="s">
        <v>32</v>
      </c>
    </row>
    <row r="14" spans="1:14" x14ac:dyDescent="0.55000000000000004">
      <c r="A14" s="50"/>
      <c r="B14" s="1">
        <v>12</v>
      </c>
      <c r="C14" s="1">
        <v>-14.46</v>
      </c>
      <c r="D14" s="1">
        <v>-2.374352</v>
      </c>
      <c r="E14" s="1">
        <v>5.4340840000000004</v>
      </c>
      <c r="F14" s="1">
        <v>14</v>
      </c>
      <c r="G14" s="1">
        <v>-9.6699999999999998E-4</v>
      </c>
      <c r="H14" s="1">
        <v>0</v>
      </c>
      <c r="I14" s="1">
        <v>25</v>
      </c>
      <c r="J14" s="1" t="s">
        <v>28</v>
      </c>
      <c r="K14" s="1">
        <v>-0.362321</v>
      </c>
      <c r="L14" s="1">
        <v>3.0000000000000001E-6</v>
      </c>
      <c r="M14" s="1">
        <v>13</v>
      </c>
      <c r="N14" s="1" t="s">
        <v>28</v>
      </c>
    </row>
    <row r="15" spans="1:14" x14ac:dyDescent="0.55000000000000004">
      <c r="A15" s="50"/>
      <c r="B15" s="1">
        <v>13</v>
      </c>
      <c r="C15" s="1">
        <v>-99.09</v>
      </c>
      <c r="D15" s="1">
        <v>-29.929373999999999</v>
      </c>
      <c r="E15" s="1">
        <v>14.754721999999999</v>
      </c>
      <c r="F15" s="1">
        <v>21</v>
      </c>
      <c r="G15" s="1">
        <v>-7.8729999999999998E-3</v>
      </c>
      <c r="H15" s="1">
        <v>0</v>
      </c>
      <c r="I15" s="1">
        <v>33</v>
      </c>
      <c r="J15" s="1" t="s">
        <v>28</v>
      </c>
      <c r="K15" s="1">
        <v>-3.7392349999999999</v>
      </c>
      <c r="L15" s="1">
        <v>2.7999999999999998E-4</v>
      </c>
      <c r="M15" s="1">
        <v>13</v>
      </c>
      <c r="N15" s="1" t="s">
        <v>32</v>
      </c>
    </row>
    <row r="16" spans="1:14" x14ac:dyDescent="0.55000000000000004">
      <c r="A16" s="50"/>
      <c r="B16" s="1">
        <v>14</v>
      </c>
      <c r="C16" s="1">
        <v>-58.79</v>
      </c>
      <c r="D16" s="1">
        <v>-16.774946</v>
      </c>
      <c r="E16" s="1">
        <v>10.370626</v>
      </c>
      <c r="F16" s="1">
        <v>19</v>
      </c>
      <c r="G16" s="1">
        <v>1.939E-3</v>
      </c>
      <c r="H16" s="1">
        <v>0</v>
      </c>
      <c r="I16" s="1">
        <v>31</v>
      </c>
      <c r="J16" s="1" t="s">
        <v>28</v>
      </c>
      <c r="K16" s="1">
        <v>-9.620177</v>
      </c>
      <c r="L16" s="1">
        <v>1.851E-3</v>
      </c>
      <c r="M16" s="1">
        <v>13</v>
      </c>
      <c r="N16" s="1" t="s">
        <v>32</v>
      </c>
    </row>
    <row r="17" spans="1:14" x14ac:dyDescent="0.55000000000000004">
      <c r="A17" s="50"/>
      <c r="B17" s="1">
        <v>15</v>
      </c>
      <c r="C17" s="1">
        <v>84.97</v>
      </c>
      <c r="D17" s="1">
        <v>59.445870999999997</v>
      </c>
      <c r="E17" s="1">
        <v>69.464100999999999</v>
      </c>
      <c r="F17" s="1">
        <v>16</v>
      </c>
      <c r="G17" s="1">
        <v>62.739277999999999</v>
      </c>
      <c r="H17" s="1">
        <v>-0.92114700000000005</v>
      </c>
      <c r="I17" s="1">
        <v>27</v>
      </c>
      <c r="J17" s="1" t="s">
        <v>27</v>
      </c>
      <c r="K17" s="1">
        <v>-672.64536899999996</v>
      </c>
      <c r="L17" s="1">
        <v>9.0490359999999992</v>
      </c>
      <c r="M17" s="1">
        <v>5</v>
      </c>
      <c r="N17" s="1" t="s">
        <v>32</v>
      </c>
    </row>
    <row r="18" spans="1:14" x14ac:dyDescent="0.55000000000000004">
      <c r="A18" s="50"/>
      <c r="B18" s="1">
        <v>16</v>
      </c>
      <c r="C18" s="1">
        <v>-47.99</v>
      </c>
      <c r="D18" s="1">
        <v>-5.9749460000000001</v>
      </c>
      <c r="E18" s="1">
        <v>21.170625999999999</v>
      </c>
      <c r="F18" s="1">
        <v>19</v>
      </c>
      <c r="G18" s="1">
        <v>-1.7520000000000001E-3</v>
      </c>
      <c r="H18" s="1">
        <v>0</v>
      </c>
      <c r="I18" s="1">
        <v>31</v>
      </c>
      <c r="J18" s="1" t="s">
        <v>28</v>
      </c>
      <c r="K18" s="1">
        <v>7.9237539999999997</v>
      </c>
      <c r="L18" s="1">
        <v>1.256E-3</v>
      </c>
      <c r="M18" s="1">
        <v>13</v>
      </c>
      <c r="N18" s="1" t="s">
        <v>32</v>
      </c>
    </row>
    <row r="19" spans="1:14" x14ac:dyDescent="0.55000000000000004">
      <c r="A19" s="50"/>
      <c r="B19" s="1">
        <v>17</v>
      </c>
      <c r="C19" s="1">
        <v>-57.18</v>
      </c>
      <c r="D19" s="1">
        <v>-15.164946</v>
      </c>
      <c r="E19" s="1">
        <v>11.980626000000001</v>
      </c>
      <c r="F19" s="1">
        <v>19</v>
      </c>
      <c r="G19" s="1">
        <v>1.774E-3</v>
      </c>
      <c r="H19" s="1">
        <v>0</v>
      </c>
      <c r="I19" s="1">
        <v>31</v>
      </c>
      <c r="J19" s="1" t="s">
        <v>28</v>
      </c>
      <c r="K19" s="1">
        <v>-28.604258000000002</v>
      </c>
      <c r="L19" s="1">
        <v>1.6364E-2</v>
      </c>
      <c r="M19" s="1">
        <v>13</v>
      </c>
      <c r="N19" s="1" t="s">
        <v>32</v>
      </c>
    </row>
    <row r="20" spans="1:14" x14ac:dyDescent="0.55000000000000004">
      <c r="A20" s="50"/>
      <c r="B20" s="1">
        <v>18</v>
      </c>
      <c r="C20" s="1">
        <v>-59.31</v>
      </c>
      <c r="D20" s="1">
        <v>-17.294945999999999</v>
      </c>
      <c r="E20" s="1">
        <v>9.8506260000000001</v>
      </c>
      <c r="F20" s="1">
        <v>19</v>
      </c>
      <c r="G20" s="1">
        <v>-5.1450000000000003E-3</v>
      </c>
      <c r="H20" s="1">
        <v>0</v>
      </c>
      <c r="I20" s="1">
        <v>31</v>
      </c>
      <c r="J20" s="1" t="s">
        <v>28</v>
      </c>
      <c r="K20" s="1">
        <v>-7.8969959999999997</v>
      </c>
      <c r="L20" s="1">
        <v>1.2470000000000001E-3</v>
      </c>
      <c r="M20" s="1">
        <v>13</v>
      </c>
      <c r="N20" s="1" t="s">
        <v>32</v>
      </c>
    </row>
    <row r="21" spans="1:14" x14ac:dyDescent="0.55000000000000004">
      <c r="A21" s="50"/>
      <c r="B21" s="1">
        <v>19</v>
      </c>
      <c r="C21" s="1">
        <v>34.06</v>
      </c>
      <c r="D21" s="1">
        <v>-7.9550539999999996</v>
      </c>
      <c r="E21" s="1">
        <v>8.5358710000000002</v>
      </c>
      <c r="F21" s="1">
        <v>18</v>
      </c>
      <c r="G21" s="1">
        <v>-9.5420000000000001E-3</v>
      </c>
      <c r="H21" s="1">
        <v>0</v>
      </c>
      <c r="I21" s="1">
        <v>29</v>
      </c>
      <c r="J21" s="1" t="s">
        <v>28</v>
      </c>
      <c r="K21" s="1">
        <v>2.6649999999999998E-3</v>
      </c>
      <c r="L21" s="1">
        <v>0</v>
      </c>
      <c r="M21" s="1">
        <v>7</v>
      </c>
      <c r="N21" s="1" t="s">
        <v>28</v>
      </c>
    </row>
    <row r="22" spans="1:14" x14ac:dyDescent="0.55000000000000004">
      <c r="A22" s="50"/>
      <c r="B22" s="1">
        <v>20</v>
      </c>
      <c r="C22" s="1">
        <v>-52.07</v>
      </c>
      <c r="D22" s="1">
        <v>-10.054945999999999</v>
      </c>
      <c r="E22" s="1">
        <v>17.090626</v>
      </c>
      <c r="F22" s="1">
        <v>19</v>
      </c>
      <c r="G22" s="1">
        <v>-4.3969999999999999E-3</v>
      </c>
      <c r="H22" s="1">
        <v>0</v>
      </c>
      <c r="I22" s="1">
        <v>31</v>
      </c>
      <c r="J22" s="1" t="s">
        <v>28</v>
      </c>
      <c r="K22" s="1">
        <v>-2.3323909999999999</v>
      </c>
      <c r="L22" s="1">
        <v>1.0900000000000001E-4</v>
      </c>
      <c r="M22" s="1">
        <v>13</v>
      </c>
      <c r="N22" s="1" t="s">
        <v>32</v>
      </c>
    </row>
    <row r="23" spans="1:14" x14ac:dyDescent="0.55000000000000004">
      <c r="A23" s="50"/>
      <c r="B23" s="1">
        <v>21</v>
      </c>
      <c r="C23" s="1">
        <v>-70.19</v>
      </c>
      <c r="D23" s="1">
        <v>-16.284644</v>
      </c>
      <c r="E23" s="1">
        <v>18.543151999999999</v>
      </c>
      <c r="F23" s="1">
        <v>20</v>
      </c>
      <c r="G23" s="1">
        <v>-7.7929999999999996E-3</v>
      </c>
      <c r="H23" s="1">
        <v>0</v>
      </c>
      <c r="I23" s="1">
        <v>31</v>
      </c>
      <c r="J23" s="1" t="s">
        <v>28</v>
      </c>
      <c r="K23" s="1">
        <v>-5.9740000000000001E-3</v>
      </c>
      <c r="L23" s="1">
        <v>0</v>
      </c>
      <c r="M23" s="1">
        <v>10</v>
      </c>
      <c r="N23" s="1" t="s">
        <v>28</v>
      </c>
    </row>
    <row r="24" spans="1:14" x14ac:dyDescent="0.55000000000000004">
      <c r="A24" s="50"/>
      <c r="B24" s="1">
        <v>22</v>
      </c>
      <c r="C24" s="1">
        <v>65.72</v>
      </c>
      <c r="D24" s="1">
        <v>62.243558</v>
      </c>
      <c r="E24" s="1">
        <v>63.608063000000001</v>
      </c>
      <c r="F24" s="1">
        <v>8</v>
      </c>
      <c r="G24" s="1">
        <v>62.745772000000002</v>
      </c>
      <c r="H24" s="1">
        <v>-0.92114799999999997</v>
      </c>
      <c r="I24" s="1">
        <v>17</v>
      </c>
      <c r="J24" s="1" t="s">
        <v>27</v>
      </c>
      <c r="K24" s="1">
        <v>-195781.655084</v>
      </c>
      <c r="L24" s="1">
        <v>766609.12934800005</v>
      </c>
      <c r="M24" s="1">
        <v>5</v>
      </c>
      <c r="N24" s="1" t="s">
        <v>32</v>
      </c>
    </row>
    <row r="25" spans="1:14" x14ac:dyDescent="0.55000000000000004">
      <c r="A25" s="50"/>
      <c r="B25" s="1">
        <v>23</v>
      </c>
      <c r="C25" s="1">
        <v>-17.260000000000002</v>
      </c>
      <c r="D25" s="1">
        <v>-5.1743519999999998</v>
      </c>
      <c r="E25" s="1">
        <v>2.6340840000000001</v>
      </c>
      <c r="F25" s="1">
        <v>14</v>
      </c>
      <c r="G25" s="1">
        <v>-8.2850000000000007E-3</v>
      </c>
      <c r="H25" s="1">
        <v>0</v>
      </c>
      <c r="I25" s="1">
        <v>25</v>
      </c>
      <c r="J25" s="1" t="s">
        <v>28</v>
      </c>
      <c r="K25" s="1">
        <v>-17.40551</v>
      </c>
      <c r="L25" s="1">
        <v>6.0590000000000001E-3</v>
      </c>
      <c r="M25" s="1">
        <v>13</v>
      </c>
      <c r="N25" s="1" t="s">
        <v>32</v>
      </c>
    </row>
    <row r="26" spans="1:14" x14ac:dyDescent="0.55000000000000004">
      <c r="A26" s="50"/>
      <c r="B26" s="1">
        <v>24</v>
      </c>
      <c r="C26" s="1">
        <v>2.2599999999999998</v>
      </c>
      <c r="D26" s="1">
        <v>-0.44961699999999999</v>
      </c>
      <c r="E26" s="1">
        <v>0.61390800000000001</v>
      </c>
      <c r="F26" s="1">
        <v>7</v>
      </c>
      <c r="G26" s="1">
        <v>9.0399999999999996E-4</v>
      </c>
      <c r="H26" s="1">
        <v>0</v>
      </c>
      <c r="I26" s="1">
        <v>17</v>
      </c>
      <c r="J26" s="1" t="s">
        <v>28</v>
      </c>
      <c r="K26" s="1">
        <v>-1.4355E-2</v>
      </c>
      <c r="L26" s="1">
        <v>0</v>
      </c>
      <c r="M26" s="1">
        <v>9</v>
      </c>
      <c r="N26" s="1" t="s">
        <v>28</v>
      </c>
    </row>
    <row r="27" spans="1:14" x14ac:dyDescent="0.55000000000000004">
      <c r="A27" s="50"/>
      <c r="B27" s="1">
        <v>25</v>
      </c>
      <c r="C27" s="1">
        <v>-84.98</v>
      </c>
      <c r="D27" s="1">
        <v>-15.819374</v>
      </c>
      <c r="E27" s="1">
        <v>28.864722</v>
      </c>
      <c r="F27" s="1">
        <v>21</v>
      </c>
      <c r="G27" s="1">
        <v>-6.5539999999999999E-3</v>
      </c>
      <c r="H27" s="1">
        <v>0</v>
      </c>
      <c r="I27" s="1">
        <v>33</v>
      </c>
      <c r="J27" s="1" t="s">
        <v>28</v>
      </c>
      <c r="K27" s="1">
        <v>-1.0730090000000001</v>
      </c>
      <c r="L27" s="1">
        <v>2.3E-5</v>
      </c>
      <c r="M27" s="1">
        <v>13</v>
      </c>
      <c r="N27" s="1" t="s">
        <v>32</v>
      </c>
    </row>
    <row r="28" spans="1:14" x14ac:dyDescent="0.55000000000000004">
      <c r="A28" s="50"/>
      <c r="B28" s="1">
        <v>26</v>
      </c>
      <c r="C28" s="1">
        <v>-39.46</v>
      </c>
      <c r="D28" s="1">
        <v>-6.7125170000000001</v>
      </c>
      <c r="E28" s="1">
        <v>14.445356</v>
      </c>
      <c r="F28" s="1">
        <v>18</v>
      </c>
      <c r="G28" s="1">
        <v>1.6689999999999999E-3</v>
      </c>
      <c r="H28" s="1">
        <v>0</v>
      </c>
      <c r="I28" s="1">
        <v>29</v>
      </c>
      <c r="J28" s="1" t="s">
        <v>28</v>
      </c>
      <c r="K28" s="1">
        <v>-1.4378550000000001</v>
      </c>
      <c r="L28" s="1">
        <v>4.1E-5</v>
      </c>
      <c r="M28" s="1">
        <v>13</v>
      </c>
      <c r="N28" s="1" t="s">
        <v>32</v>
      </c>
    </row>
    <row r="29" spans="1:14" x14ac:dyDescent="0.55000000000000004">
      <c r="A29" s="50"/>
      <c r="B29" s="1">
        <v>27</v>
      </c>
      <c r="C29" s="1">
        <v>61.81</v>
      </c>
      <c r="D29" s="1">
        <v>62.81</v>
      </c>
      <c r="E29" s="1">
        <v>63.093001000000001</v>
      </c>
      <c r="F29" s="1">
        <v>3</v>
      </c>
      <c r="G29" s="1">
        <v>62.818323999999997</v>
      </c>
      <c r="H29" s="1">
        <v>-0.92107399999999995</v>
      </c>
      <c r="I29" s="1">
        <v>11</v>
      </c>
      <c r="J29" s="1" t="s">
        <v>27</v>
      </c>
      <c r="K29" s="1">
        <v>-21532515.799972001</v>
      </c>
      <c r="L29" s="83" t="s">
        <v>34</v>
      </c>
      <c r="M29" s="1">
        <v>5</v>
      </c>
      <c r="N29" s="1" t="s">
        <v>32</v>
      </c>
    </row>
    <row r="30" spans="1:14" x14ac:dyDescent="0.55000000000000004">
      <c r="A30" s="50"/>
      <c r="B30" s="1">
        <v>28</v>
      </c>
      <c r="C30" s="1">
        <v>-57.75</v>
      </c>
      <c r="D30" s="1">
        <v>-15.734946000000001</v>
      </c>
      <c r="E30" s="1">
        <v>11.410626000000001</v>
      </c>
      <c r="F30" s="1">
        <v>19</v>
      </c>
      <c r="G30" s="1">
        <v>-3.3700000000000002E-3</v>
      </c>
      <c r="H30" s="1">
        <v>0</v>
      </c>
      <c r="I30" s="1">
        <v>31</v>
      </c>
      <c r="J30" s="1" t="s">
        <v>28</v>
      </c>
      <c r="K30" s="1">
        <v>-17.271977</v>
      </c>
      <c r="L30" s="1">
        <v>5.9659999999999999E-3</v>
      </c>
      <c r="M30" s="1">
        <v>13</v>
      </c>
      <c r="N30" s="1" t="s">
        <v>32</v>
      </c>
    </row>
    <row r="31" spans="1:14" x14ac:dyDescent="0.55000000000000004">
      <c r="A31" s="50"/>
      <c r="B31" s="1">
        <v>29</v>
      </c>
      <c r="C31" s="1">
        <v>-32.11</v>
      </c>
      <c r="D31" s="1">
        <v>-6.585871</v>
      </c>
      <c r="E31" s="1">
        <v>9.9050539999999998</v>
      </c>
      <c r="F31" s="1">
        <v>17</v>
      </c>
      <c r="G31" s="1">
        <v>2.8800000000000001E-4</v>
      </c>
      <c r="H31" s="1">
        <v>0</v>
      </c>
      <c r="I31" s="1">
        <v>29</v>
      </c>
      <c r="J31" s="1" t="s">
        <v>28</v>
      </c>
      <c r="K31" s="1">
        <v>-1.4612849999999999</v>
      </c>
      <c r="L31" s="1">
        <v>4.3000000000000002E-5</v>
      </c>
      <c r="M31" s="1">
        <v>13</v>
      </c>
      <c r="N31" s="1" t="s">
        <v>32</v>
      </c>
    </row>
    <row r="32" spans="1:14" x14ac:dyDescent="0.55000000000000004">
      <c r="A32" s="50"/>
      <c r="B32" s="1">
        <v>30</v>
      </c>
      <c r="C32" s="1">
        <v>-94.36</v>
      </c>
      <c r="D32" s="1">
        <v>-25.199373999999999</v>
      </c>
      <c r="E32" s="1">
        <v>19.484722000000001</v>
      </c>
      <c r="F32" s="1">
        <v>21</v>
      </c>
      <c r="G32" s="1">
        <v>-5.8200000000000005E-4</v>
      </c>
      <c r="H32" s="1">
        <v>0</v>
      </c>
      <c r="I32" s="1">
        <v>33</v>
      </c>
      <c r="J32" s="1" t="s">
        <v>28</v>
      </c>
      <c r="K32" s="1">
        <v>-15.147676000000001</v>
      </c>
      <c r="L32" s="1">
        <v>4.5890000000000002E-3</v>
      </c>
      <c r="M32" s="1">
        <v>13</v>
      </c>
      <c r="N32" s="1" t="s">
        <v>32</v>
      </c>
    </row>
    <row r="33" spans="1:14" x14ac:dyDescent="0.55000000000000004">
      <c r="A33" s="50"/>
      <c r="B33" s="1">
        <v>31</v>
      </c>
      <c r="C33" s="1">
        <v>-68.239999999999995</v>
      </c>
      <c r="D33" s="1">
        <v>-14.334644000000001</v>
      </c>
      <c r="E33" s="1">
        <v>20.493151999999998</v>
      </c>
      <c r="F33" s="1">
        <v>20</v>
      </c>
      <c r="G33" s="1">
        <v>1.3129999999999999E-3</v>
      </c>
      <c r="H33" s="1">
        <v>0</v>
      </c>
      <c r="I33" s="1">
        <v>31</v>
      </c>
      <c r="J33" s="1" t="s">
        <v>28</v>
      </c>
      <c r="K33" s="1">
        <v>-3.8127770000000001</v>
      </c>
      <c r="L33" s="1">
        <v>2.9100000000000003E-4</v>
      </c>
      <c r="M33" s="1">
        <v>13</v>
      </c>
      <c r="N33" s="1" t="s">
        <v>32</v>
      </c>
    </row>
    <row r="34" spans="1:14" x14ac:dyDescent="0.55000000000000004">
      <c r="A34" s="50"/>
      <c r="B34" s="1">
        <v>32</v>
      </c>
      <c r="C34" s="1">
        <v>-1.86</v>
      </c>
      <c r="D34" s="1">
        <v>-0.57699900000000004</v>
      </c>
      <c r="E34" s="1">
        <v>0.25193700000000002</v>
      </c>
      <c r="F34" s="1">
        <v>5</v>
      </c>
      <c r="G34" s="1">
        <v>-8.8520000000000005E-3</v>
      </c>
      <c r="H34" s="1">
        <v>0</v>
      </c>
      <c r="I34" s="1">
        <v>15</v>
      </c>
      <c r="J34" s="1" t="s">
        <v>28</v>
      </c>
      <c r="K34" s="1">
        <v>-11.309856999999999</v>
      </c>
      <c r="L34" s="1">
        <v>2.5579999999999999E-3</v>
      </c>
      <c r="M34" s="1">
        <v>8</v>
      </c>
      <c r="N34" s="1" t="s">
        <v>32</v>
      </c>
    </row>
    <row r="35" spans="1:14" x14ac:dyDescent="0.55000000000000004">
      <c r="A35" s="50"/>
      <c r="B35" s="1">
        <v>33</v>
      </c>
      <c r="C35" s="1">
        <v>80.099999999999994</v>
      </c>
      <c r="D35" s="1">
        <v>60.205916000000002</v>
      </c>
      <c r="E35" s="1">
        <v>68.014352000000002</v>
      </c>
      <c r="F35" s="1">
        <v>15</v>
      </c>
      <c r="G35" s="1">
        <v>62.745438</v>
      </c>
      <c r="H35" s="1">
        <v>-0.92114799999999997</v>
      </c>
      <c r="I35" s="1">
        <v>25</v>
      </c>
      <c r="J35" s="1" t="s">
        <v>27</v>
      </c>
      <c r="K35" s="1">
        <v>-1305.5820209999999</v>
      </c>
      <c r="L35" s="1">
        <v>34.090888</v>
      </c>
      <c r="M35" s="1">
        <v>5</v>
      </c>
      <c r="N35" s="1" t="s">
        <v>32</v>
      </c>
    </row>
    <row r="36" spans="1:14" x14ac:dyDescent="0.55000000000000004">
      <c r="A36" s="50"/>
      <c r="B36" s="1">
        <v>34</v>
      </c>
      <c r="C36" s="1">
        <v>-80.64</v>
      </c>
      <c r="D36" s="1">
        <v>-11.479374</v>
      </c>
      <c r="E36" s="1">
        <v>33.204721999999997</v>
      </c>
      <c r="F36" s="1">
        <v>21</v>
      </c>
      <c r="G36" s="1">
        <v>-6.1630000000000001E-3</v>
      </c>
      <c r="H36" s="1">
        <v>0</v>
      </c>
      <c r="I36" s="1">
        <v>33</v>
      </c>
      <c r="J36" s="1" t="s">
        <v>28</v>
      </c>
      <c r="K36" s="1">
        <v>3.4677859999999998</v>
      </c>
      <c r="L36" s="1">
        <v>2.41E-4</v>
      </c>
      <c r="M36" s="1">
        <v>13</v>
      </c>
      <c r="N36" s="1" t="s">
        <v>32</v>
      </c>
    </row>
    <row r="37" spans="1:14" x14ac:dyDescent="0.55000000000000004">
      <c r="A37" s="50"/>
      <c r="B37" s="1">
        <v>35</v>
      </c>
      <c r="C37" s="1">
        <v>-15.62</v>
      </c>
      <c r="D37" s="1">
        <v>-3.5343520000000002</v>
      </c>
      <c r="E37" s="1">
        <v>4.2740840000000002</v>
      </c>
      <c r="F37" s="1">
        <v>14</v>
      </c>
      <c r="G37" s="1">
        <v>-5.9199999999999999E-3</v>
      </c>
      <c r="H37" s="1">
        <v>0</v>
      </c>
      <c r="I37" s="1">
        <v>25</v>
      </c>
      <c r="J37" s="1" t="s">
        <v>28</v>
      </c>
      <c r="K37" s="1">
        <v>9.3489999999999997E-3</v>
      </c>
      <c r="L37" s="1">
        <v>0</v>
      </c>
      <c r="M37" s="1">
        <v>7</v>
      </c>
      <c r="N37" s="1" t="s">
        <v>28</v>
      </c>
    </row>
    <row r="38" spans="1:14" x14ac:dyDescent="0.55000000000000004">
      <c r="A38" s="50"/>
      <c r="B38" s="1">
        <v>36</v>
      </c>
      <c r="C38" s="1">
        <v>-76.010000000000005</v>
      </c>
      <c r="D38" s="1">
        <v>-22.104644</v>
      </c>
      <c r="E38" s="1">
        <v>12.723152000000001</v>
      </c>
      <c r="F38" s="1">
        <v>20</v>
      </c>
      <c r="G38" s="1">
        <v>-5.1120000000000002E-3</v>
      </c>
      <c r="H38" s="1">
        <v>0</v>
      </c>
      <c r="I38" s="1">
        <v>31</v>
      </c>
      <c r="J38" s="1" t="s">
        <v>28</v>
      </c>
      <c r="K38" s="1">
        <v>-6.3181469999999997</v>
      </c>
      <c r="L38" s="1">
        <v>7.9799999999999999E-4</v>
      </c>
      <c r="M38" s="1">
        <v>13</v>
      </c>
      <c r="N38" s="1" t="s">
        <v>32</v>
      </c>
    </row>
    <row r="39" spans="1:14" x14ac:dyDescent="0.55000000000000004">
      <c r="A39" s="50"/>
      <c r="B39" s="1">
        <v>37</v>
      </c>
      <c r="C39" s="1">
        <v>-56.42</v>
      </c>
      <c r="D39" s="1">
        <v>-14.404946000000001</v>
      </c>
      <c r="E39" s="1">
        <v>12.740626000000001</v>
      </c>
      <c r="F39" s="1">
        <v>19</v>
      </c>
      <c r="G39" s="1">
        <v>-4.3540000000000002E-3</v>
      </c>
      <c r="H39" s="1">
        <v>0</v>
      </c>
      <c r="I39" s="1">
        <v>31</v>
      </c>
      <c r="J39" s="1" t="s">
        <v>28</v>
      </c>
      <c r="K39" s="1">
        <v>5.5199999999999997E-3</v>
      </c>
      <c r="L39" s="1">
        <v>0</v>
      </c>
      <c r="M39" s="1">
        <v>12</v>
      </c>
      <c r="N39" s="1" t="s">
        <v>28</v>
      </c>
    </row>
    <row r="40" spans="1:14" x14ac:dyDescent="0.55000000000000004">
      <c r="A40" s="50"/>
      <c r="B40" s="1">
        <v>38</v>
      </c>
      <c r="C40" s="1">
        <v>-36.71</v>
      </c>
      <c r="D40" s="1">
        <v>-11.185871000000001</v>
      </c>
      <c r="E40" s="1">
        <v>5.3050540000000002</v>
      </c>
      <c r="F40" s="1">
        <v>17</v>
      </c>
      <c r="G40" s="1">
        <v>-4.718E-3</v>
      </c>
      <c r="H40" s="1">
        <v>0</v>
      </c>
      <c r="I40" s="1">
        <v>29</v>
      </c>
      <c r="J40" s="1" t="s">
        <v>28</v>
      </c>
      <c r="K40" s="1">
        <v>-9.3414099999999998</v>
      </c>
      <c r="L40" s="1">
        <v>1.745E-3</v>
      </c>
      <c r="M40" s="1">
        <v>13</v>
      </c>
      <c r="N40" s="1" t="s">
        <v>32</v>
      </c>
    </row>
    <row r="41" spans="1:14" x14ac:dyDescent="0.55000000000000004">
      <c r="A41" s="50"/>
      <c r="B41" s="1">
        <v>39</v>
      </c>
      <c r="C41" s="1">
        <v>25.38</v>
      </c>
      <c r="D41" s="1">
        <v>-7.367483</v>
      </c>
      <c r="E41" s="1">
        <v>5.4859159999999996</v>
      </c>
      <c r="F41" s="1">
        <v>17</v>
      </c>
      <c r="G41" s="1">
        <v>-3.137E-3</v>
      </c>
      <c r="H41" s="1">
        <v>0</v>
      </c>
      <c r="I41" s="1">
        <v>27</v>
      </c>
      <c r="J41" s="1" t="s">
        <v>28</v>
      </c>
      <c r="K41" s="1">
        <v>-39.562218000000001</v>
      </c>
      <c r="L41" s="1">
        <v>3.1302999999999997E-2</v>
      </c>
      <c r="M41" s="1">
        <v>13</v>
      </c>
      <c r="N41" s="1" t="s">
        <v>32</v>
      </c>
    </row>
    <row r="42" spans="1:14" x14ac:dyDescent="0.55000000000000004">
      <c r="A42" s="50"/>
      <c r="B42" s="1">
        <v>40</v>
      </c>
      <c r="C42" s="1">
        <v>-81.48</v>
      </c>
      <c r="D42" s="1">
        <v>-12.319374</v>
      </c>
      <c r="E42" s="1">
        <v>32.364722</v>
      </c>
      <c r="F42" s="1">
        <v>21</v>
      </c>
      <c r="G42" s="1">
        <v>-6.9899999999999997E-4</v>
      </c>
      <c r="H42" s="1">
        <v>0</v>
      </c>
      <c r="I42" s="1">
        <v>33</v>
      </c>
      <c r="J42" s="1" t="s">
        <v>28</v>
      </c>
      <c r="K42" s="1">
        <v>3.3255910000000002</v>
      </c>
      <c r="L42" s="1">
        <v>2.2100000000000001E-4</v>
      </c>
      <c r="M42" s="1">
        <v>15</v>
      </c>
      <c r="N42" s="1" t="s">
        <v>32</v>
      </c>
    </row>
    <row r="43" spans="1:14" x14ac:dyDescent="0.55000000000000004">
      <c r="A43" s="50"/>
      <c r="B43" s="1">
        <v>41</v>
      </c>
      <c r="C43" s="1">
        <v>-49.21</v>
      </c>
      <c r="D43" s="1">
        <v>-7.1949459999999998</v>
      </c>
      <c r="E43" s="1">
        <v>19.950626</v>
      </c>
      <c r="F43" s="1">
        <v>19</v>
      </c>
      <c r="G43" s="1">
        <v>-1.1429999999999999E-3</v>
      </c>
      <c r="H43" s="1">
        <v>0</v>
      </c>
      <c r="I43" s="1">
        <v>31</v>
      </c>
      <c r="J43" s="1" t="s">
        <v>28</v>
      </c>
      <c r="K43" s="1">
        <v>-7.2154680000000004</v>
      </c>
      <c r="L43" s="1">
        <v>1.041E-3</v>
      </c>
      <c r="M43" s="1">
        <v>18</v>
      </c>
      <c r="N43" s="1" t="s">
        <v>32</v>
      </c>
    </row>
    <row r="44" spans="1:14" x14ac:dyDescent="0.55000000000000004">
      <c r="A44" s="50"/>
      <c r="B44" s="1">
        <v>42</v>
      </c>
      <c r="C44" s="1">
        <v>88.3</v>
      </c>
      <c r="D44" s="1">
        <v>55.552517000000002</v>
      </c>
      <c r="E44" s="1">
        <v>68.405916000000005</v>
      </c>
      <c r="F44" s="1">
        <v>17</v>
      </c>
      <c r="G44" s="1">
        <v>62.747844999999998</v>
      </c>
      <c r="H44" s="1">
        <v>-0.92114799999999997</v>
      </c>
      <c r="I44" s="1">
        <v>27</v>
      </c>
      <c r="J44" s="1" t="s">
        <v>27</v>
      </c>
      <c r="K44" s="1">
        <v>-298.950874</v>
      </c>
      <c r="L44" s="1">
        <v>1.787433</v>
      </c>
      <c r="M44" s="1">
        <v>5</v>
      </c>
      <c r="N44" s="1" t="s">
        <v>32</v>
      </c>
    </row>
    <row r="45" spans="1:14" x14ac:dyDescent="0.55000000000000004">
      <c r="A45" s="50"/>
      <c r="B45" s="1">
        <v>43</v>
      </c>
      <c r="C45" s="1">
        <v>6.89</v>
      </c>
      <c r="D45" s="1">
        <v>-2.5298280000000002</v>
      </c>
      <c r="E45" s="1">
        <v>1.1674580000000001</v>
      </c>
      <c r="F45" s="1">
        <v>12</v>
      </c>
      <c r="G45" s="1">
        <v>-9.3970000000000008E-3</v>
      </c>
      <c r="H45" s="1">
        <v>0</v>
      </c>
      <c r="I45" s="1">
        <v>21</v>
      </c>
      <c r="J45" s="1" t="s">
        <v>28</v>
      </c>
      <c r="K45" s="1">
        <v>-6.0216180000000001</v>
      </c>
      <c r="L45" s="1">
        <v>7.2499999999999995E-4</v>
      </c>
      <c r="M45" s="1">
        <v>15</v>
      </c>
      <c r="N45" s="1" t="s">
        <v>32</v>
      </c>
    </row>
    <row r="46" spans="1:14" x14ac:dyDescent="0.55000000000000004">
      <c r="A46" s="50"/>
      <c r="B46" s="1">
        <v>44</v>
      </c>
      <c r="C46" s="1">
        <v>-37.729999999999997</v>
      </c>
      <c r="D46" s="1">
        <v>-4.9825169999999996</v>
      </c>
      <c r="E46" s="1">
        <v>16.175356000000001</v>
      </c>
      <c r="F46" s="1">
        <v>18</v>
      </c>
      <c r="G46" s="1">
        <v>-4.1939999999999998E-3</v>
      </c>
      <c r="H46" s="1">
        <v>0</v>
      </c>
      <c r="I46" s="1">
        <v>29</v>
      </c>
      <c r="J46" s="1" t="s">
        <v>28</v>
      </c>
      <c r="K46" s="1">
        <v>17.941009999999999</v>
      </c>
      <c r="L46" s="1">
        <v>6.4380000000000001E-3</v>
      </c>
      <c r="M46" s="1">
        <v>15</v>
      </c>
      <c r="N46" s="1" t="s">
        <v>32</v>
      </c>
    </row>
    <row r="47" spans="1:14" x14ac:dyDescent="0.55000000000000004">
      <c r="A47" s="50"/>
      <c r="B47" s="1">
        <v>45</v>
      </c>
      <c r="C47" s="1">
        <v>-42.29</v>
      </c>
      <c r="D47" s="1">
        <v>-9.5425170000000001</v>
      </c>
      <c r="E47" s="1">
        <v>11.615356</v>
      </c>
      <c r="F47" s="1">
        <v>18</v>
      </c>
      <c r="G47" s="1">
        <v>-1.1648E-2</v>
      </c>
      <c r="H47" s="1">
        <v>0</v>
      </c>
      <c r="I47" s="1">
        <v>29</v>
      </c>
      <c r="J47" s="1" t="s">
        <v>28</v>
      </c>
      <c r="K47" s="1">
        <v>-1.338E-2</v>
      </c>
      <c r="L47" s="1">
        <v>0</v>
      </c>
      <c r="M47" s="1">
        <v>10</v>
      </c>
      <c r="N47" s="1" t="s">
        <v>28</v>
      </c>
    </row>
    <row r="48" spans="1:14" x14ac:dyDescent="0.55000000000000004">
      <c r="A48" s="50"/>
      <c r="B48" s="1">
        <v>46</v>
      </c>
      <c r="C48" s="1">
        <v>-0.72</v>
      </c>
      <c r="D48" s="1">
        <v>0.28000000000000003</v>
      </c>
      <c r="E48" s="1">
        <v>0.56300099999999997</v>
      </c>
      <c r="F48" s="1">
        <v>3</v>
      </c>
      <c r="G48" s="1">
        <v>0.28832400000000002</v>
      </c>
      <c r="H48" s="1">
        <v>1.9999999999999999E-6</v>
      </c>
      <c r="I48" s="1">
        <v>11</v>
      </c>
      <c r="J48" s="1" t="s">
        <v>28</v>
      </c>
      <c r="K48" s="1">
        <v>-26.384817999999999</v>
      </c>
      <c r="L48" s="1">
        <v>1.3923E-2</v>
      </c>
      <c r="M48" s="1">
        <v>5</v>
      </c>
      <c r="N48" s="1" t="s">
        <v>32</v>
      </c>
    </row>
    <row r="49" spans="1:14" x14ac:dyDescent="0.55000000000000004">
      <c r="A49" s="50"/>
      <c r="B49" s="1">
        <v>47</v>
      </c>
      <c r="C49" s="1">
        <v>-32.31</v>
      </c>
      <c r="D49" s="1">
        <v>-6.7858710000000002</v>
      </c>
      <c r="E49" s="1">
        <v>9.7050540000000005</v>
      </c>
      <c r="F49" s="1">
        <v>17</v>
      </c>
      <c r="G49" s="1">
        <v>-1.872E-3</v>
      </c>
      <c r="H49" s="1">
        <v>0</v>
      </c>
      <c r="I49" s="1">
        <v>29</v>
      </c>
      <c r="J49" s="1" t="s">
        <v>28</v>
      </c>
      <c r="K49" s="1">
        <v>2.8519999999999999E-3</v>
      </c>
      <c r="L49" s="1">
        <v>0</v>
      </c>
      <c r="M49" s="1">
        <v>12</v>
      </c>
      <c r="N49" s="1" t="s">
        <v>28</v>
      </c>
    </row>
    <row r="50" spans="1:14" x14ac:dyDescent="0.55000000000000004">
      <c r="A50" s="50"/>
      <c r="B50" s="1">
        <v>48</v>
      </c>
      <c r="C50" s="1">
        <v>71.89</v>
      </c>
      <c r="D50" s="1">
        <v>59.804352000000002</v>
      </c>
      <c r="E50" s="1">
        <v>64.547972999999999</v>
      </c>
      <c r="F50" s="1">
        <v>13</v>
      </c>
      <c r="G50" s="1">
        <v>62.743842000000001</v>
      </c>
      <c r="H50" s="1">
        <v>-0.92114799999999997</v>
      </c>
      <c r="I50" s="1">
        <v>23</v>
      </c>
      <c r="J50" s="1" t="s">
        <v>27</v>
      </c>
      <c r="K50" s="1">
        <v>-4973.1914180000003</v>
      </c>
      <c r="L50" s="1">
        <v>494.65265799999997</v>
      </c>
      <c r="M50" s="1">
        <v>5</v>
      </c>
      <c r="N50" s="1" t="s">
        <v>32</v>
      </c>
    </row>
    <row r="51" spans="1:14" x14ac:dyDescent="0.55000000000000004">
      <c r="A51" s="50"/>
      <c r="B51" s="1">
        <v>49</v>
      </c>
      <c r="C51" s="1">
        <v>-31.36</v>
      </c>
      <c r="D51" s="1">
        <v>-5.835871</v>
      </c>
      <c r="E51" s="1">
        <v>10.655054</v>
      </c>
      <c r="F51" s="1">
        <v>17</v>
      </c>
      <c r="G51" s="1">
        <v>-2.7810000000000001E-3</v>
      </c>
      <c r="H51" s="1">
        <v>0</v>
      </c>
      <c r="I51" s="1">
        <v>29</v>
      </c>
      <c r="J51" s="1" t="s">
        <v>28</v>
      </c>
      <c r="K51" s="1">
        <v>-2.0252180000000002</v>
      </c>
      <c r="L51" s="1">
        <v>8.2000000000000001E-5</v>
      </c>
      <c r="M51" s="1">
        <v>13</v>
      </c>
      <c r="N51" s="1" t="s">
        <v>32</v>
      </c>
    </row>
    <row r="52" spans="1:14" x14ac:dyDescent="0.55000000000000004">
      <c r="A52" s="50"/>
      <c r="B52" s="1">
        <v>50</v>
      </c>
      <c r="C52" s="1">
        <v>-77.150000000000006</v>
      </c>
      <c r="D52" s="1">
        <v>-23.244644000000001</v>
      </c>
      <c r="E52" s="1">
        <v>11.583152</v>
      </c>
      <c r="F52" s="1">
        <v>20</v>
      </c>
      <c r="G52" s="1">
        <v>-1.223E-2</v>
      </c>
      <c r="H52" s="1">
        <v>0</v>
      </c>
      <c r="I52" s="1">
        <v>31</v>
      </c>
      <c r="J52" s="1" t="s">
        <v>28</v>
      </c>
      <c r="K52" s="1">
        <v>-4.9106680000000003</v>
      </c>
      <c r="L52" s="1">
        <v>4.8200000000000001E-4</v>
      </c>
      <c r="M52" s="1">
        <v>13</v>
      </c>
      <c r="N52" s="1" t="s">
        <v>32</v>
      </c>
    </row>
    <row r="53" spans="1:14" x14ac:dyDescent="0.55000000000000004">
      <c r="A53" s="50"/>
      <c r="B53" s="1">
        <v>51</v>
      </c>
      <c r="C53" s="1">
        <v>-11.58</v>
      </c>
      <c r="D53" s="1">
        <v>-2.1601720000000002</v>
      </c>
      <c r="E53" s="1">
        <v>3.9258989999999998</v>
      </c>
      <c r="F53" s="1">
        <v>13</v>
      </c>
      <c r="G53" s="1">
        <v>-5.1050000000000002E-3</v>
      </c>
      <c r="H53" s="1">
        <v>0</v>
      </c>
      <c r="I53" s="1">
        <v>23</v>
      </c>
      <c r="J53" s="1" t="s">
        <v>28</v>
      </c>
      <c r="K53" s="1">
        <v>-8.0218999999999999E-2</v>
      </c>
      <c r="L53" s="1">
        <v>0</v>
      </c>
      <c r="M53" s="1">
        <v>10</v>
      </c>
      <c r="N53" s="1" t="s">
        <v>28</v>
      </c>
    </row>
    <row r="54" spans="1:14" x14ac:dyDescent="0.55000000000000004">
      <c r="A54" s="50"/>
      <c r="B54" s="1">
        <v>52</v>
      </c>
      <c r="C54" s="1">
        <v>24.48</v>
      </c>
      <c r="D54" s="1">
        <v>-8.2674830000000004</v>
      </c>
      <c r="E54" s="1">
        <v>4.5859160000000001</v>
      </c>
      <c r="F54" s="1">
        <v>17</v>
      </c>
      <c r="G54" s="1">
        <v>-1.709E-3</v>
      </c>
      <c r="H54" s="1">
        <v>0</v>
      </c>
      <c r="I54" s="1">
        <v>27</v>
      </c>
      <c r="J54" s="1" t="s">
        <v>28</v>
      </c>
      <c r="K54" s="1">
        <v>-14.675345</v>
      </c>
      <c r="L54" s="1">
        <v>4.3070000000000001E-3</v>
      </c>
      <c r="M54" s="1">
        <v>13</v>
      </c>
      <c r="N54" s="1" t="s">
        <v>32</v>
      </c>
    </row>
    <row r="55" spans="1:14" x14ac:dyDescent="0.55000000000000004">
      <c r="A55" s="50"/>
      <c r="B55" s="1">
        <v>53</v>
      </c>
      <c r="C55" s="1">
        <v>-53.52</v>
      </c>
      <c r="D55" s="1">
        <v>-11.504946</v>
      </c>
      <c r="E55" s="1">
        <v>15.640625999999999</v>
      </c>
      <c r="F55" s="1">
        <v>19</v>
      </c>
      <c r="G55" s="1">
        <v>-6.5469999999999999E-3</v>
      </c>
      <c r="H55" s="1">
        <v>0</v>
      </c>
      <c r="I55" s="1">
        <v>31</v>
      </c>
      <c r="J55" s="1" t="s">
        <v>28</v>
      </c>
      <c r="K55" s="1">
        <v>-3.7409400000000002</v>
      </c>
      <c r="L55" s="1">
        <v>2.7999999999999998E-4</v>
      </c>
      <c r="M55" s="1">
        <v>13</v>
      </c>
      <c r="N55" s="1" t="s">
        <v>32</v>
      </c>
    </row>
    <row r="56" spans="1:14" x14ac:dyDescent="0.55000000000000004">
      <c r="A56" s="50"/>
      <c r="B56" s="1">
        <v>54</v>
      </c>
      <c r="C56" s="1">
        <v>-97.73</v>
      </c>
      <c r="D56" s="1">
        <v>-28.569374</v>
      </c>
      <c r="E56" s="1">
        <v>16.114722</v>
      </c>
      <c r="F56" s="1">
        <v>21</v>
      </c>
      <c r="G56" s="1">
        <v>-1.936E-3</v>
      </c>
      <c r="H56" s="1">
        <v>0</v>
      </c>
      <c r="I56" s="1">
        <v>33</v>
      </c>
      <c r="J56" s="1" t="s">
        <v>28</v>
      </c>
      <c r="K56" s="1">
        <v>-4.6973669999999998</v>
      </c>
      <c r="L56" s="1">
        <v>4.4099999999999999E-4</v>
      </c>
      <c r="M56" s="1">
        <v>13</v>
      </c>
      <c r="N56" s="1" t="s">
        <v>32</v>
      </c>
    </row>
    <row r="57" spans="1:14" x14ac:dyDescent="0.55000000000000004">
      <c r="A57" s="50"/>
      <c r="B57" s="1">
        <v>55</v>
      </c>
      <c r="C57" s="1">
        <v>-80.36</v>
      </c>
      <c r="D57" s="1">
        <v>-11.199374000000001</v>
      </c>
      <c r="E57" s="1">
        <v>33.484721999999998</v>
      </c>
      <c r="F57" s="1">
        <v>21</v>
      </c>
      <c r="G57" s="1">
        <v>-3.581E-3</v>
      </c>
      <c r="H57" s="1">
        <v>0</v>
      </c>
      <c r="I57" s="1">
        <v>33</v>
      </c>
      <c r="J57" s="1" t="s">
        <v>28</v>
      </c>
      <c r="K57" s="1">
        <v>4.3672440000000003</v>
      </c>
      <c r="L57" s="1">
        <v>3.8099999999999999E-4</v>
      </c>
      <c r="M57" s="1">
        <v>13</v>
      </c>
      <c r="N57" s="1" t="s">
        <v>32</v>
      </c>
    </row>
    <row r="58" spans="1:14" x14ac:dyDescent="0.55000000000000004">
      <c r="A58" s="50"/>
      <c r="B58" s="1">
        <v>56</v>
      </c>
      <c r="C58" s="1">
        <v>-11.46</v>
      </c>
      <c r="D58" s="1">
        <v>-2.0401720000000001</v>
      </c>
      <c r="E58" s="1">
        <v>4.0458990000000004</v>
      </c>
      <c r="F58" s="1">
        <v>13</v>
      </c>
      <c r="G58" s="1">
        <v>-1.4808E-2</v>
      </c>
      <c r="H58" s="1">
        <v>0</v>
      </c>
      <c r="I58" s="1">
        <v>23</v>
      </c>
      <c r="J58" s="1" t="s">
        <v>28</v>
      </c>
      <c r="K58" s="1">
        <v>-7.1771000000000001E-2</v>
      </c>
      <c r="L58" s="1">
        <v>0</v>
      </c>
      <c r="M58" s="1">
        <v>10</v>
      </c>
      <c r="N58" s="1" t="s">
        <v>28</v>
      </c>
    </row>
    <row r="59" spans="1:14" x14ac:dyDescent="0.55000000000000004">
      <c r="A59" s="50"/>
      <c r="B59" s="1">
        <v>57</v>
      </c>
      <c r="C59" s="1">
        <v>90.9</v>
      </c>
      <c r="D59" s="1">
        <v>58.152517000000003</v>
      </c>
      <c r="E59" s="1">
        <v>71.005915999999999</v>
      </c>
      <c r="F59" s="1">
        <v>17</v>
      </c>
      <c r="G59" s="1">
        <v>62.748190999999998</v>
      </c>
      <c r="H59" s="1">
        <v>-0.92114799999999997</v>
      </c>
      <c r="I59" s="1">
        <v>27</v>
      </c>
      <c r="J59" s="1" t="s">
        <v>27</v>
      </c>
      <c r="K59" s="1">
        <v>-341.80926099999999</v>
      </c>
      <c r="L59" s="1">
        <v>2.3366709999999999</v>
      </c>
      <c r="M59" s="1">
        <v>5</v>
      </c>
      <c r="N59" s="1" t="s">
        <v>32</v>
      </c>
    </row>
    <row r="60" spans="1:14" x14ac:dyDescent="0.55000000000000004">
      <c r="A60" s="50"/>
      <c r="B60" s="1">
        <v>58</v>
      </c>
      <c r="C60" s="1">
        <v>-46.87</v>
      </c>
      <c r="D60" s="1">
        <v>-14.122517</v>
      </c>
      <c r="E60" s="1">
        <v>7.0353560000000002</v>
      </c>
      <c r="F60" s="1">
        <v>18</v>
      </c>
      <c r="G60" s="1">
        <v>-6.3509999999999999E-3</v>
      </c>
      <c r="H60" s="1">
        <v>0</v>
      </c>
      <c r="I60" s="1">
        <v>29</v>
      </c>
      <c r="J60" s="1" t="s">
        <v>28</v>
      </c>
      <c r="K60" s="1">
        <v>-7.961633</v>
      </c>
      <c r="L60" s="1">
        <v>1.268E-3</v>
      </c>
      <c r="M60" s="1">
        <v>13</v>
      </c>
      <c r="N60" s="1" t="s">
        <v>32</v>
      </c>
    </row>
    <row r="61" spans="1:14" x14ac:dyDescent="0.55000000000000004">
      <c r="A61" s="50"/>
      <c r="B61" s="1">
        <v>59</v>
      </c>
      <c r="C61" s="1">
        <v>-33.18</v>
      </c>
      <c r="D61" s="1">
        <v>-7.6558710000000003</v>
      </c>
      <c r="E61" s="1">
        <v>8.8350539999999995</v>
      </c>
      <c r="F61" s="1">
        <v>17</v>
      </c>
      <c r="G61" s="1">
        <v>2.4529999999999999E-3</v>
      </c>
      <c r="H61" s="1">
        <v>0</v>
      </c>
      <c r="I61" s="1">
        <v>29</v>
      </c>
      <c r="J61" s="1" t="s">
        <v>28</v>
      </c>
      <c r="K61" s="1">
        <v>-2.8587999999999999E-2</v>
      </c>
      <c r="L61" s="1">
        <v>0</v>
      </c>
      <c r="M61" s="1">
        <v>10</v>
      </c>
      <c r="N61" s="1" t="s">
        <v>28</v>
      </c>
    </row>
    <row r="62" spans="1:14" x14ac:dyDescent="0.55000000000000004">
      <c r="A62" s="50"/>
      <c r="B62" s="1">
        <v>60</v>
      </c>
      <c r="C62" s="1">
        <v>18.86</v>
      </c>
      <c r="D62" s="1">
        <v>-6.664129</v>
      </c>
      <c r="E62" s="1">
        <v>3.354101</v>
      </c>
      <c r="F62" s="1">
        <v>16</v>
      </c>
      <c r="G62" s="1">
        <v>-8.3099999999999997E-3</v>
      </c>
      <c r="H62" s="1">
        <v>0</v>
      </c>
      <c r="I62" s="1">
        <v>27</v>
      </c>
      <c r="J62" s="1" t="s">
        <v>28</v>
      </c>
      <c r="K62" s="1">
        <v>-14.814885</v>
      </c>
      <c r="L62" s="1">
        <v>4.3899999999999998E-3</v>
      </c>
      <c r="M62" s="1">
        <v>13</v>
      </c>
      <c r="N62" s="1" t="s">
        <v>32</v>
      </c>
    </row>
    <row r="63" spans="1:14" x14ac:dyDescent="0.55000000000000004">
      <c r="A63" s="50"/>
      <c r="B63" s="1">
        <v>61</v>
      </c>
      <c r="C63" s="1">
        <v>-80.09</v>
      </c>
      <c r="D63" s="1">
        <v>-10.929373999999999</v>
      </c>
      <c r="E63" s="1">
        <v>33.754722000000001</v>
      </c>
      <c r="F63" s="1">
        <v>21</v>
      </c>
      <c r="G63" s="1">
        <v>2.212E-3</v>
      </c>
      <c r="H63" s="1">
        <v>0</v>
      </c>
      <c r="I63" s="1">
        <v>33</v>
      </c>
      <c r="J63" s="1" t="s">
        <v>28</v>
      </c>
      <c r="K63" s="1">
        <v>5.510535</v>
      </c>
      <c r="L63" s="1">
        <v>6.0700000000000001E-4</v>
      </c>
      <c r="M63" s="1">
        <v>13</v>
      </c>
      <c r="N63" s="1" t="s">
        <v>32</v>
      </c>
    </row>
    <row r="64" spans="1:14" x14ac:dyDescent="0.55000000000000004">
      <c r="A64" s="50"/>
      <c r="B64" s="1">
        <v>62</v>
      </c>
      <c r="C64" s="1">
        <v>21.08</v>
      </c>
      <c r="D64" s="1">
        <v>-4.4441290000000002</v>
      </c>
      <c r="E64" s="1">
        <v>5.5741009999999998</v>
      </c>
      <c r="F64" s="1">
        <v>16</v>
      </c>
      <c r="G64" s="1">
        <v>-2.735E-3</v>
      </c>
      <c r="H64" s="1">
        <v>0</v>
      </c>
      <c r="I64" s="1">
        <v>27</v>
      </c>
      <c r="J64" s="1" t="s">
        <v>28</v>
      </c>
      <c r="K64" s="1">
        <v>-5.0171E-2</v>
      </c>
      <c r="L64" s="1">
        <v>0</v>
      </c>
      <c r="M64" s="1">
        <v>10</v>
      </c>
      <c r="N64" s="1" t="s">
        <v>28</v>
      </c>
    </row>
    <row r="65" spans="1:14" x14ac:dyDescent="0.55000000000000004">
      <c r="A65" s="50"/>
      <c r="B65" s="1">
        <v>63</v>
      </c>
      <c r="C65" s="1">
        <v>85.58</v>
      </c>
      <c r="D65" s="1">
        <v>52.832517000000003</v>
      </c>
      <c r="E65" s="1">
        <v>65.685916000000006</v>
      </c>
      <c r="F65" s="1">
        <v>17</v>
      </c>
      <c r="G65" s="1">
        <v>62.740178</v>
      </c>
      <c r="H65" s="1">
        <v>-0.92114700000000005</v>
      </c>
      <c r="I65" s="1">
        <v>27</v>
      </c>
      <c r="J65" s="1" t="s">
        <v>27</v>
      </c>
      <c r="K65" s="1">
        <v>-382.999304</v>
      </c>
      <c r="L65" s="1">
        <v>2.9337689999999998</v>
      </c>
      <c r="M65" s="1">
        <v>5</v>
      </c>
      <c r="N65" s="1" t="s">
        <v>32</v>
      </c>
    </row>
    <row r="66" spans="1:14" x14ac:dyDescent="0.55000000000000004">
      <c r="A66" s="50"/>
      <c r="B66" s="1">
        <v>64</v>
      </c>
      <c r="C66" s="1">
        <v>-58.78</v>
      </c>
      <c r="D66" s="1">
        <v>-16.764945999999998</v>
      </c>
      <c r="E66" s="1">
        <v>10.380625999999999</v>
      </c>
      <c r="F66" s="1">
        <v>19</v>
      </c>
      <c r="G66" s="1">
        <v>-1.0460000000000001E-3</v>
      </c>
      <c r="H66" s="1">
        <v>0</v>
      </c>
      <c r="I66" s="1">
        <v>31</v>
      </c>
      <c r="J66" s="1" t="s">
        <v>28</v>
      </c>
      <c r="K66" s="1">
        <v>-9.6615540000000006</v>
      </c>
      <c r="L66" s="1">
        <v>1.867E-3</v>
      </c>
      <c r="M66" s="1">
        <v>13</v>
      </c>
      <c r="N66" s="1" t="s">
        <v>32</v>
      </c>
    </row>
    <row r="67" spans="1:14" x14ac:dyDescent="0.55000000000000004">
      <c r="A67" s="50"/>
      <c r="B67" s="1">
        <v>65</v>
      </c>
      <c r="C67" s="1">
        <v>37.630000000000003</v>
      </c>
      <c r="D67" s="1">
        <v>-16.275355999999999</v>
      </c>
      <c r="E67" s="1">
        <v>4.882517</v>
      </c>
      <c r="F67" s="1">
        <v>19</v>
      </c>
      <c r="G67" s="1">
        <v>2.4499999999999999E-3</v>
      </c>
      <c r="H67" s="1">
        <v>0</v>
      </c>
      <c r="I67" s="1">
        <v>29</v>
      </c>
      <c r="J67" s="1" t="s">
        <v>28</v>
      </c>
      <c r="K67" s="1">
        <v>-6.0900949999999998</v>
      </c>
      <c r="L67" s="1">
        <v>7.4200000000000004E-4</v>
      </c>
      <c r="M67" s="1">
        <v>13</v>
      </c>
      <c r="N67" s="1" t="s">
        <v>32</v>
      </c>
    </row>
    <row r="68" spans="1:14" x14ac:dyDescent="0.55000000000000004">
      <c r="A68" s="50"/>
      <c r="B68" s="1">
        <v>66</v>
      </c>
      <c r="C68" s="1">
        <v>8.81</v>
      </c>
      <c r="D68" s="1">
        <v>-3.2756479999999999</v>
      </c>
      <c r="E68" s="1">
        <v>1.467973</v>
      </c>
      <c r="F68" s="1">
        <v>13</v>
      </c>
      <c r="G68" s="1">
        <v>-9.5479999999999992E-3</v>
      </c>
      <c r="H68" s="1">
        <v>0</v>
      </c>
      <c r="I68" s="1">
        <v>23</v>
      </c>
      <c r="J68" s="1" t="s">
        <v>28</v>
      </c>
      <c r="K68" s="1">
        <v>2.372E-3</v>
      </c>
      <c r="L68" s="1">
        <v>0</v>
      </c>
      <c r="M68" s="1">
        <v>7</v>
      </c>
      <c r="N68" s="1" t="s">
        <v>28</v>
      </c>
    </row>
    <row r="69" spans="1:14" x14ac:dyDescent="0.55000000000000004">
      <c r="A69" s="50"/>
      <c r="B69" s="1">
        <v>67</v>
      </c>
      <c r="C69" s="1">
        <v>88.28</v>
      </c>
      <c r="D69" s="1">
        <v>55.532516999999999</v>
      </c>
      <c r="E69" s="1">
        <v>68.385915999999995</v>
      </c>
      <c r="F69" s="1">
        <v>17</v>
      </c>
      <c r="G69" s="1">
        <v>62.743941999999997</v>
      </c>
      <c r="H69" s="1">
        <v>-0.92114799999999997</v>
      </c>
      <c r="I69" s="1">
        <v>27</v>
      </c>
      <c r="J69" s="1" t="s">
        <v>27</v>
      </c>
      <c r="K69" s="1">
        <v>-299.00349499999999</v>
      </c>
      <c r="L69" s="1">
        <v>1.788062</v>
      </c>
      <c r="M69" s="1">
        <v>5</v>
      </c>
      <c r="N69" s="1" t="s">
        <v>32</v>
      </c>
    </row>
    <row r="70" spans="1:14" x14ac:dyDescent="0.55000000000000004">
      <c r="A70" s="50"/>
      <c r="B70" s="1">
        <v>68</v>
      </c>
      <c r="C70" s="1">
        <v>5.69</v>
      </c>
      <c r="D70" s="1">
        <v>-1.6520269999999999</v>
      </c>
      <c r="E70" s="1">
        <v>1.229722</v>
      </c>
      <c r="F70" s="1">
        <v>11</v>
      </c>
      <c r="G70" s="1">
        <v>-9.4499999999999998E-4</v>
      </c>
      <c r="H70" s="1">
        <v>0</v>
      </c>
      <c r="I70" s="1">
        <v>21</v>
      </c>
      <c r="J70" s="1" t="s">
        <v>28</v>
      </c>
      <c r="K70" s="1">
        <v>-1.818E-3</v>
      </c>
      <c r="L70" s="1">
        <v>0</v>
      </c>
      <c r="M70" s="1">
        <v>7</v>
      </c>
      <c r="N70" s="1" t="s">
        <v>28</v>
      </c>
    </row>
    <row r="71" spans="1:14" x14ac:dyDescent="0.55000000000000004">
      <c r="A71" s="50"/>
      <c r="B71" s="1">
        <v>69</v>
      </c>
      <c r="C71" s="1">
        <v>0.53</v>
      </c>
      <c r="D71" s="1">
        <v>-1.1160920000000001</v>
      </c>
      <c r="E71" s="1">
        <v>-0.47</v>
      </c>
      <c r="F71" s="1">
        <v>5</v>
      </c>
      <c r="G71" s="1">
        <v>-0.48451899999999998</v>
      </c>
      <c r="H71" s="1">
        <v>5.0000000000000004E-6</v>
      </c>
      <c r="I71" s="1">
        <v>15</v>
      </c>
      <c r="J71" s="1" t="s">
        <v>28</v>
      </c>
      <c r="K71" s="1">
        <v>-8.2974499999999995</v>
      </c>
      <c r="L71" s="1">
        <v>1.377E-3</v>
      </c>
      <c r="M71" s="1">
        <v>5</v>
      </c>
      <c r="N71" s="1" t="s">
        <v>32</v>
      </c>
    </row>
    <row r="72" spans="1:14" x14ac:dyDescent="0.55000000000000004">
      <c r="A72" s="50"/>
      <c r="B72" s="1">
        <v>70</v>
      </c>
      <c r="C72" s="1">
        <v>5.73</v>
      </c>
      <c r="D72" s="1">
        <v>-1.6120270000000001</v>
      </c>
      <c r="E72" s="1">
        <v>1.269722</v>
      </c>
      <c r="F72" s="1">
        <v>11</v>
      </c>
      <c r="G72" s="1">
        <v>-6.8089999999999999E-3</v>
      </c>
      <c r="H72" s="1">
        <v>0</v>
      </c>
      <c r="I72" s="1">
        <v>21</v>
      </c>
      <c r="J72" s="1" t="s">
        <v>28</v>
      </c>
      <c r="K72" s="1">
        <v>-9.4899999999999997E-4</v>
      </c>
      <c r="L72" s="1">
        <v>0</v>
      </c>
      <c r="M72" s="1">
        <v>7</v>
      </c>
      <c r="N72" s="1" t="s">
        <v>28</v>
      </c>
    </row>
    <row r="73" spans="1:14" x14ac:dyDescent="0.55000000000000004">
      <c r="A73" s="50"/>
      <c r="B73" s="1">
        <v>71</v>
      </c>
      <c r="C73" s="1">
        <v>2.83</v>
      </c>
      <c r="D73" s="1">
        <v>-0.64644199999999996</v>
      </c>
      <c r="E73" s="1">
        <v>0.71806300000000001</v>
      </c>
      <c r="F73" s="1">
        <v>8</v>
      </c>
      <c r="G73" s="1">
        <v>-1.1568E-2</v>
      </c>
      <c r="H73" s="1">
        <v>0</v>
      </c>
      <c r="I73" s="1">
        <v>17</v>
      </c>
      <c r="J73" s="1" t="s">
        <v>28</v>
      </c>
      <c r="K73" s="1">
        <v>-1.4989999999999999E-3</v>
      </c>
      <c r="L73" s="1">
        <v>0</v>
      </c>
      <c r="M73" s="1">
        <v>7</v>
      </c>
      <c r="N73" s="1" t="s">
        <v>28</v>
      </c>
    </row>
    <row r="74" spans="1:14" x14ac:dyDescent="0.55000000000000004">
      <c r="A74" s="50"/>
      <c r="B74" s="1">
        <v>72</v>
      </c>
      <c r="C74" s="1">
        <v>-97.79</v>
      </c>
      <c r="D74" s="1">
        <v>-28.629373999999999</v>
      </c>
      <c r="E74" s="1">
        <v>16.054722000000002</v>
      </c>
      <c r="F74" s="1">
        <v>21</v>
      </c>
      <c r="G74" s="1">
        <v>-2.49E-3</v>
      </c>
      <c r="H74" s="1">
        <v>0</v>
      </c>
      <c r="I74" s="1">
        <v>33</v>
      </c>
      <c r="J74" s="1" t="s">
        <v>28</v>
      </c>
      <c r="K74" s="1">
        <v>-4.6411579999999999</v>
      </c>
      <c r="L74" s="1">
        <v>4.3100000000000001E-4</v>
      </c>
      <c r="M74" s="1">
        <v>13</v>
      </c>
      <c r="N74" s="1" t="s">
        <v>32</v>
      </c>
    </row>
    <row r="75" spans="1:14" x14ac:dyDescent="0.55000000000000004">
      <c r="A75" s="50"/>
      <c r="B75" s="1">
        <v>73</v>
      </c>
      <c r="C75" s="1">
        <v>88.08</v>
      </c>
      <c r="D75" s="1">
        <v>55.332517000000003</v>
      </c>
      <c r="E75" s="1">
        <v>68.185916000000006</v>
      </c>
      <c r="F75" s="1">
        <v>17</v>
      </c>
      <c r="G75" s="1">
        <v>62.737105</v>
      </c>
      <c r="H75" s="1">
        <v>-0.92114600000000002</v>
      </c>
      <c r="I75" s="1">
        <v>27</v>
      </c>
      <c r="J75" s="1" t="s">
        <v>27</v>
      </c>
      <c r="K75" s="1">
        <v>-299.84857299999999</v>
      </c>
      <c r="L75" s="1">
        <v>1.7981830000000001</v>
      </c>
      <c r="M75" s="1">
        <v>5</v>
      </c>
      <c r="N75" s="1" t="s">
        <v>32</v>
      </c>
    </row>
    <row r="76" spans="1:14" x14ac:dyDescent="0.55000000000000004">
      <c r="A76" s="50"/>
      <c r="B76" s="1">
        <v>74</v>
      </c>
      <c r="C76" s="1">
        <v>63.57</v>
      </c>
      <c r="D76" s="1">
        <v>61.923907999999997</v>
      </c>
      <c r="E76" s="1">
        <v>62.57</v>
      </c>
      <c r="F76" s="1">
        <v>5</v>
      </c>
      <c r="G76" s="1">
        <v>62.555481</v>
      </c>
      <c r="H76" s="1">
        <v>-0.92059100000000005</v>
      </c>
      <c r="I76" s="1">
        <v>15</v>
      </c>
      <c r="J76" s="1" t="s">
        <v>27</v>
      </c>
      <c r="K76" s="1">
        <v>-1799038.432181</v>
      </c>
      <c r="L76" s="1">
        <v>64730785.609314002</v>
      </c>
      <c r="M76" s="1">
        <v>5</v>
      </c>
      <c r="N76" s="1" t="s">
        <v>32</v>
      </c>
    </row>
    <row r="77" spans="1:14" x14ac:dyDescent="0.55000000000000004">
      <c r="A77" s="50"/>
      <c r="B77" s="1">
        <v>75</v>
      </c>
      <c r="C77" s="1">
        <v>-58.23</v>
      </c>
      <c r="D77" s="1">
        <v>-16.214946000000001</v>
      </c>
      <c r="E77" s="1">
        <v>10.930626</v>
      </c>
      <c r="F77" s="1">
        <v>19</v>
      </c>
      <c r="G77" s="1">
        <v>-9.41E-3</v>
      </c>
      <c r="H77" s="1">
        <v>0</v>
      </c>
      <c r="I77" s="1">
        <v>31</v>
      </c>
      <c r="J77" s="1" t="s">
        <v>28</v>
      </c>
      <c r="K77" s="1">
        <v>-12.675158</v>
      </c>
      <c r="L77" s="1">
        <v>3.2130000000000001E-3</v>
      </c>
      <c r="M77" s="1">
        <v>13</v>
      </c>
      <c r="N77" s="1" t="s">
        <v>32</v>
      </c>
    </row>
    <row r="78" spans="1:14" x14ac:dyDescent="0.55000000000000004">
      <c r="A78" s="50"/>
      <c r="B78" s="1">
        <v>76</v>
      </c>
      <c r="C78" s="1">
        <v>-78.25</v>
      </c>
      <c r="D78" s="1">
        <v>-24.344643999999999</v>
      </c>
      <c r="E78" s="1">
        <v>10.483152</v>
      </c>
      <c r="F78" s="1">
        <v>20</v>
      </c>
      <c r="G78" s="1">
        <v>-4.3379999999999998E-3</v>
      </c>
      <c r="H78" s="1">
        <v>0</v>
      </c>
      <c r="I78" s="1">
        <v>31</v>
      </c>
      <c r="J78" s="1" t="s">
        <v>28</v>
      </c>
      <c r="K78" s="1">
        <v>-4.2105139999999999</v>
      </c>
      <c r="L78" s="1">
        <v>3.5500000000000001E-4</v>
      </c>
      <c r="M78" s="1">
        <v>13</v>
      </c>
      <c r="N78" s="1" t="s">
        <v>32</v>
      </c>
    </row>
    <row r="79" spans="1:14" x14ac:dyDescent="0.55000000000000004">
      <c r="A79" s="50"/>
      <c r="B79" s="1">
        <v>77</v>
      </c>
      <c r="C79" s="1">
        <v>-5.42</v>
      </c>
      <c r="D79" s="1">
        <v>-0.95972199999999996</v>
      </c>
      <c r="E79" s="1">
        <v>1.9220269999999999</v>
      </c>
      <c r="F79" s="1">
        <v>10</v>
      </c>
      <c r="G79" s="1">
        <v>3.4090000000000001E-3</v>
      </c>
      <c r="H79" s="1">
        <v>0</v>
      </c>
      <c r="I79" s="1">
        <v>21</v>
      </c>
      <c r="J79" s="1" t="s">
        <v>28</v>
      </c>
      <c r="K79" s="1">
        <v>-0.12814500000000001</v>
      </c>
      <c r="L79" s="1">
        <v>0</v>
      </c>
      <c r="M79" s="1">
        <v>10</v>
      </c>
      <c r="N79" s="1" t="s">
        <v>28</v>
      </c>
    </row>
    <row r="80" spans="1:14" x14ac:dyDescent="0.55000000000000004">
      <c r="A80" s="50"/>
      <c r="B80" s="1">
        <v>78</v>
      </c>
      <c r="C80" s="1">
        <v>59.87</v>
      </c>
      <c r="D80" s="1">
        <v>61.981937000000002</v>
      </c>
      <c r="E80" s="1">
        <v>63.346442000000003</v>
      </c>
      <c r="F80" s="1">
        <v>7</v>
      </c>
      <c r="G80" s="1">
        <v>62.739995</v>
      </c>
      <c r="H80" s="1">
        <v>-0.92114700000000005</v>
      </c>
      <c r="I80" s="1">
        <v>17</v>
      </c>
      <c r="J80" s="1" t="s">
        <v>27</v>
      </c>
      <c r="K80" s="1">
        <v>-194406.51890200001</v>
      </c>
      <c r="L80" s="1">
        <v>755877.89182999998</v>
      </c>
      <c r="M80" s="1">
        <v>5</v>
      </c>
      <c r="N80" s="1" t="s">
        <v>32</v>
      </c>
    </row>
    <row r="81" spans="1:14" x14ac:dyDescent="0.55000000000000004">
      <c r="A81" s="50"/>
      <c r="B81" s="1">
        <v>79</v>
      </c>
      <c r="C81" s="1">
        <v>-23.7</v>
      </c>
      <c r="D81" s="1">
        <v>-3.8059159999999999</v>
      </c>
      <c r="E81" s="1">
        <v>9.0474829999999997</v>
      </c>
      <c r="F81" s="1">
        <v>16</v>
      </c>
      <c r="G81" s="1">
        <v>-7.0410000000000004E-3</v>
      </c>
      <c r="H81" s="1">
        <v>0</v>
      </c>
      <c r="I81" s="1">
        <v>27</v>
      </c>
      <c r="J81" s="1" t="s">
        <v>28</v>
      </c>
      <c r="K81" s="1">
        <v>-1.4907760000000001</v>
      </c>
      <c r="L81" s="1">
        <v>4.3999999999999999E-5</v>
      </c>
      <c r="M81" s="1">
        <v>13</v>
      </c>
      <c r="N81" s="1" t="s">
        <v>32</v>
      </c>
    </row>
    <row r="82" spans="1:14" x14ac:dyDescent="0.55000000000000004">
      <c r="A82" s="50"/>
      <c r="B82" s="1">
        <v>80</v>
      </c>
      <c r="C82" s="1">
        <v>-20.149999999999999</v>
      </c>
      <c r="D82" s="1">
        <v>-4.644101</v>
      </c>
      <c r="E82" s="1">
        <v>5.3741289999999999</v>
      </c>
      <c r="F82" s="1">
        <v>15</v>
      </c>
      <c r="G82" s="1">
        <v>-8.2389999999999998E-3</v>
      </c>
      <c r="H82" s="1">
        <v>0</v>
      </c>
      <c r="I82" s="1">
        <v>27</v>
      </c>
      <c r="J82" s="1" t="s">
        <v>28</v>
      </c>
      <c r="K82" s="1">
        <v>7.1240000000000001E-3</v>
      </c>
      <c r="L82" s="1">
        <v>0</v>
      </c>
      <c r="M82" s="1">
        <v>7</v>
      </c>
      <c r="N82" s="1" t="s">
        <v>28</v>
      </c>
    </row>
    <row r="83" spans="1:14" x14ac:dyDescent="0.55000000000000004">
      <c r="A83" s="50"/>
      <c r="B83" s="1">
        <v>81</v>
      </c>
      <c r="C83" s="1">
        <v>-45.63</v>
      </c>
      <c r="D83" s="1">
        <v>-12.882517</v>
      </c>
      <c r="E83" s="1">
        <v>8.2753560000000004</v>
      </c>
      <c r="F83" s="1">
        <v>18</v>
      </c>
      <c r="G83" s="1">
        <v>-1.0932000000000001E-2</v>
      </c>
      <c r="H83" s="1">
        <v>0</v>
      </c>
      <c r="I83" s="1">
        <v>29</v>
      </c>
      <c r="J83" s="1" t="s">
        <v>28</v>
      </c>
      <c r="K83" s="1">
        <v>-13.654638</v>
      </c>
      <c r="L83" s="1">
        <v>3.7290000000000001E-3</v>
      </c>
      <c r="M83" s="1">
        <v>13</v>
      </c>
      <c r="N83" s="1" t="s">
        <v>32</v>
      </c>
    </row>
    <row r="84" spans="1:14" x14ac:dyDescent="0.55000000000000004">
      <c r="A84" s="50"/>
      <c r="B84" s="1">
        <v>82</v>
      </c>
      <c r="C84" s="1">
        <v>14.39</v>
      </c>
      <c r="D84" s="1">
        <v>-5.5040839999999998</v>
      </c>
      <c r="E84" s="1">
        <v>2.3043520000000002</v>
      </c>
      <c r="F84" s="1">
        <v>15</v>
      </c>
      <c r="G84" s="1">
        <v>-5.7429999999999998E-3</v>
      </c>
      <c r="H84" s="1">
        <v>0</v>
      </c>
      <c r="I84" s="1">
        <v>25</v>
      </c>
      <c r="J84" s="1" t="s">
        <v>28</v>
      </c>
      <c r="K84" s="1">
        <v>-13.309087</v>
      </c>
      <c r="L84" s="1">
        <v>3.5430000000000001E-3</v>
      </c>
      <c r="M84" s="1">
        <v>13</v>
      </c>
      <c r="N84" s="1" t="s">
        <v>32</v>
      </c>
    </row>
    <row r="85" spans="1:14" x14ac:dyDescent="0.55000000000000004">
      <c r="A85" s="50"/>
      <c r="B85" s="1">
        <v>83</v>
      </c>
      <c r="C85" s="1">
        <v>98.21</v>
      </c>
      <c r="D85" s="1">
        <v>56.194946000000002</v>
      </c>
      <c r="E85" s="1">
        <v>72.685871000000006</v>
      </c>
      <c r="F85" s="1">
        <v>18</v>
      </c>
      <c r="G85" s="1">
        <v>62.749195</v>
      </c>
      <c r="H85" s="1">
        <v>-0.92114799999999997</v>
      </c>
      <c r="I85" s="1">
        <v>29</v>
      </c>
      <c r="J85" s="1" t="s">
        <v>27</v>
      </c>
      <c r="K85" s="1">
        <v>-169.28814399999999</v>
      </c>
      <c r="L85" s="1">
        <v>0.57316999999999996</v>
      </c>
      <c r="M85" s="1">
        <v>5</v>
      </c>
      <c r="N85" s="1" t="s">
        <v>32</v>
      </c>
    </row>
    <row r="86" spans="1:14" x14ac:dyDescent="0.55000000000000004">
      <c r="A86" s="50"/>
      <c r="B86" s="1">
        <v>84</v>
      </c>
      <c r="C86" s="1">
        <v>18.13</v>
      </c>
      <c r="D86" s="1">
        <v>-7.3941290000000004</v>
      </c>
      <c r="E86" s="1">
        <v>2.624101</v>
      </c>
      <c r="F86" s="1">
        <v>16</v>
      </c>
      <c r="G86" s="1">
        <v>1.9220000000000001E-3</v>
      </c>
      <c r="H86" s="1">
        <v>0</v>
      </c>
      <c r="I86" s="1">
        <v>27</v>
      </c>
      <c r="J86" s="1" t="s">
        <v>28</v>
      </c>
      <c r="K86" s="1">
        <v>-10.506237</v>
      </c>
      <c r="L86" s="1">
        <v>2.2079999999999999E-3</v>
      </c>
      <c r="M86" s="1">
        <v>13</v>
      </c>
      <c r="N86" s="1" t="s">
        <v>32</v>
      </c>
    </row>
    <row r="87" spans="1:14" x14ac:dyDescent="0.55000000000000004">
      <c r="A87" s="50"/>
      <c r="B87" s="1">
        <v>85</v>
      </c>
      <c r="C87" s="1">
        <v>6.45</v>
      </c>
      <c r="D87" s="1">
        <v>-0.89202700000000001</v>
      </c>
      <c r="E87" s="1">
        <v>1.989722</v>
      </c>
      <c r="F87" s="1">
        <v>11</v>
      </c>
      <c r="G87" s="1">
        <v>-5.3350000000000003E-3</v>
      </c>
      <c r="H87" s="1">
        <v>0</v>
      </c>
      <c r="I87" s="1">
        <v>21</v>
      </c>
      <c r="J87" s="1" t="s">
        <v>28</v>
      </c>
      <c r="K87" s="1">
        <v>-0.143097</v>
      </c>
      <c r="L87" s="1">
        <v>0</v>
      </c>
      <c r="M87" s="1">
        <v>10</v>
      </c>
      <c r="N87" s="1" t="s">
        <v>28</v>
      </c>
    </row>
    <row r="88" spans="1:14" x14ac:dyDescent="0.55000000000000004">
      <c r="A88" s="50"/>
      <c r="B88" s="1">
        <v>86</v>
      </c>
      <c r="C88" s="1">
        <v>8.31</v>
      </c>
      <c r="D88" s="1">
        <v>-1.109828</v>
      </c>
      <c r="E88" s="1">
        <v>2.5874579999999998</v>
      </c>
      <c r="F88" s="1">
        <v>12</v>
      </c>
      <c r="G88" s="1">
        <v>-1.6230000000000001E-3</v>
      </c>
      <c r="H88" s="1">
        <v>0</v>
      </c>
      <c r="I88" s="1">
        <v>21</v>
      </c>
      <c r="J88" s="1" t="s">
        <v>28</v>
      </c>
      <c r="K88" s="1">
        <v>-0.14783099999999999</v>
      </c>
      <c r="L88" s="1">
        <v>0</v>
      </c>
      <c r="M88" s="1">
        <v>10</v>
      </c>
      <c r="N88" s="1" t="s">
        <v>28</v>
      </c>
    </row>
    <row r="89" spans="1:14" x14ac:dyDescent="0.55000000000000004">
      <c r="A89" s="50"/>
      <c r="B89" s="1">
        <v>87</v>
      </c>
      <c r="C89" s="1">
        <v>11.58</v>
      </c>
      <c r="D89" s="1">
        <v>-3.9258989999999998</v>
      </c>
      <c r="E89" s="1">
        <v>2.1601720000000002</v>
      </c>
      <c r="F89" s="1">
        <v>14</v>
      </c>
      <c r="G89" s="1">
        <v>-4.8729999999999997E-3</v>
      </c>
      <c r="H89" s="1">
        <v>0</v>
      </c>
      <c r="I89" s="1">
        <v>23</v>
      </c>
      <c r="J89" s="1" t="s">
        <v>28</v>
      </c>
      <c r="K89" s="1">
        <v>5.3359999999999996E-3</v>
      </c>
      <c r="L89" s="1">
        <v>0</v>
      </c>
      <c r="M89" s="1">
        <v>12</v>
      </c>
      <c r="N89" s="1" t="s">
        <v>28</v>
      </c>
    </row>
    <row r="90" spans="1:14" x14ac:dyDescent="0.55000000000000004">
      <c r="A90" s="50"/>
      <c r="B90" s="1">
        <v>88</v>
      </c>
      <c r="C90" s="1">
        <v>-87.07</v>
      </c>
      <c r="D90" s="1">
        <v>-17.909374</v>
      </c>
      <c r="E90" s="1">
        <v>26.774722000000001</v>
      </c>
      <c r="F90" s="1">
        <v>21</v>
      </c>
      <c r="G90" s="1">
        <v>-2.7100000000000002E-3</v>
      </c>
      <c r="H90" s="1">
        <v>0</v>
      </c>
      <c r="I90" s="1">
        <v>33</v>
      </c>
      <c r="J90" s="1" t="s">
        <v>28</v>
      </c>
      <c r="K90" s="1">
        <v>-2.8552909999999998</v>
      </c>
      <c r="L90" s="1">
        <v>1.63E-4</v>
      </c>
      <c r="M90" s="1">
        <v>13</v>
      </c>
      <c r="N90" s="1" t="s">
        <v>32</v>
      </c>
    </row>
    <row r="91" spans="1:14" x14ac:dyDescent="0.55000000000000004">
      <c r="A91" s="50"/>
      <c r="B91" s="1">
        <v>89</v>
      </c>
      <c r="C91" s="1">
        <v>-29.43</v>
      </c>
      <c r="D91" s="1">
        <v>-3.9058709999999999</v>
      </c>
      <c r="E91" s="1">
        <v>12.585054</v>
      </c>
      <c r="F91" s="1">
        <v>17</v>
      </c>
      <c r="G91" s="1">
        <v>-6.5069999999999998E-3</v>
      </c>
      <c r="H91" s="1">
        <v>0</v>
      </c>
      <c r="I91" s="1">
        <v>29</v>
      </c>
      <c r="J91" s="1" t="s">
        <v>28</v>
      </c>
      <c r="K91" s="1">
        <v>-0.33160600000000001</v>
      </c>
      <c r="L91" s="1">
        <v>1.9999999999999999E-6</v>
      </c>
      <c r="M91" s="1">
        <v>13</v>
      </c>
      <c r="N91" s="1" t="s">
        <v>28</v>
      </c>
    </row>
    <row r="92" spans="1:14" x14ac:dyDescent="0.55000000000000004">
      <c r="A92" s="50"/>
      <c r="B92" s="1">
        <v>90</v>
      </c>
      <c r="C92" s="1">
        <v>-64.489999999999995</v>
      </c>
      <c r="D92" s="1">
        <v>-10.584644000000001</v>
      </c>
      <c r="E92" s="1">
        <v>24.243151999999998</v>
      </c>
      <c r="F92" s="1">
        <v>20</v>
      </c>
      <c r="G92" s="1">
        <v>-5.5240000000000003E-3</v>
      </c>
      <c r="H92" s="1">
        <v>0</v>
      </c>
      <c r="I92" s="1">
        <v>31</v>
      </c>
      <c r="J92" s="1" t="s">
        <v>28</v>
      </c>
      <c r="K92" s="1">
        <v>-0.21068400000000001</v>
      </c>
      <c r="L92" s="1">
        <v>9.9999999999999995E-7</v>
      </c>
      <c r="M92" s="1">
        <v>13</v>
      </c>
      <c r="N92" s="1" t="s">
        <v>28</v>
      </c>
    </row>
    <row r="93" spans="1:14" x14ac:dyDescent="0.55000000000000004">
      <c r="A93" s="50"/>
      <c r="B93" s="1">
        <v>91</v>
      </c>
      <c r="C93" s="1">
        <v>16.079999999999998</v>
      </c>
      <c r="D93" s="1">
        <v>-3.8140839999999998</v>
      </c>
      <c r="E93" s="1">
        <v>3.9943520000000001</v>
      </c>
      <c r="F93" s="1">
        <v>15</v>
      </c>
      <c r="G93" s="1">
        <v>-8.4599999999999996E-4</v>
      </c>
      <c r="H93" s="1">
        <v>0</v>
      </c>
      <c r="I93" s="1">
        <v>25</v>
      </c>
      <c r="J93" s="1" t="s">
        <v>28</v>
      </c>
      <c r="K93" s="1">
        <v>4.7600000000000002E-4</v>
      </c>
      <c r="L93" s="1">
        <v>0</v>
      </c>
      <c r="M93" s="1">
        <v>7</v>
      </c>
      <c r="N93" s="1" t="s">
        <v>28</v>
      </c>
    </row>
    <row r="94" spans="1:14" x14ac:dyDescent="0.55000000000000004">
      <c r="A94" s="50"/>
      <c r="B94" s="1">
        <v>92</v>
      </c>
      <c r="C94" s="1">
        <v>-5.74</v>
      </c>
      <c r="D94" s="1">
        <v>-1.279722</v>
      </c>
      <c r="E94" s="1">
        <v>1.6020270000000001</v>
      </c>
      <c r="F94" s="1">
        <v>10</v>
      </c>
      <c r="G94" s="1">
        <v>-1.0834999999999999E-2</v>
      </c>
      <c r="H94" s="1">
        <v>0</v>
      </c>
      <c r="I94" s="1">
        <v>21</v>
      </c>
      <c r="J94" s="1" t="s">
        <v>28</v>
      </c>
      <c r="K94" s="1">
        <v>1.2290000000000001E-3</v>
      </c>
      <c r="L94" s="1">
        <v>0</v>
      </c>
      <c r="M94" s="1">
        <v>7</v>
      </c>
      <c r="N94" s="1" t="s">
        <v>28</v>
      </c>
    </row>
    <row r="95" spans="1:14" x14ac:dyDescent="0.55000000000000004">
      <c r="A95" s="50"/>
      <c r="B95" s="1">
        <v>93</v>
      </c>
      <c r="C95" s="1">
        <v>-18.989999999999998</v>
      </c>
      <c r="D95" s="1">
        <v>-3.4841009999999999</v>
      </c>
      <c r="E95" s="1">
        <v>6.5341290000000001</v>
      </c>
      <c r="F95" s="1">
        <v>15</v>
      </c>
      <c r="G95" s="1">
        <v>-8.7729999999999995E-3</v>
      </c>
      <c r="H95" s="1">
        <v>0</v>
      </c>
      <c r="I95" s="1">
        <v>27</v>
      </c>
      <c r="J95" s="1" t="s">
        <v>28</v>
      </c>
      <c r="K95" s="1">
        <v>-0.46140999999999999</v>
      </c>
      <c r="L95" s="1">
        <v>3.9999999999999998E-6</v>
      </c>
      <c r="M95" s="1">
        <v>13</v>
      </c>
      <c r="N95" s="1" t="s">
        <v>28</v>
      </c>
    </row>
    <row r="96" spans="1:14" x14ac:dyDescent="0.55000000000000004">
      <c r="A96" s="50"/>
      <c r="B96" s="1">
        <v>94</v>
      </c>
      <c r="C96" s="1">
        <v>-7</v>
      </c>
      <c r="D96" s="1">
        <v>-1.277458</v>
      </c>
      <c r="E96" s="1">
        <v>2.4198279999999999</v>
      </c>
      <c r="F96" s="1">
        <v>11</v>
      </c>
      <c r="G96" s="1">
        <v>-1.2338999999999999E-2</v>
      </c>
      <c r="H96" s="1">
        <v>0</v>
      </c>
      <c r="I96" s="1">
        <v>21</v>
      </c>
      <c r="J96" s="1" t="s">
        <v>28</v>
      </c>
      <c r="K96" s="1">
        <v>-0.135077</v>
      </c>
      <c r="L96" s="1">
        <v>0</v>
      </c>
      <c r="M96" s="1">
        <v>10</v>
      </c>
      <c r="N96" s="1" t="s">
        <v>28</v>
      </c>
    </row>
    <row r="97" spans="1:14" x14ac:dyDescent="0.55000000000000004">
      <c r="A97" s="50"/>
      <c r="B97" s="1">
        <v>95</v>
      </c>
      <c r="C97" s="1">
        <v>-30.19</v>
      </c>
      <c r="D97" s="1">
        <v>-4.6658710000000001</v>
      </c>
      <c r="E97" s="1">
        <v>11.825054</v>
      </c>
      <c r="F97" s="1">
        <v>17</v>
      </c>
      <c r="G97" s="1">
        <v>-6.7500000000000004E-4</v>
      </c>
      <c r="H97" s="1">
        <v>0</v>
      </c>
      <c r="I97" s="1">
        <v>29</v>
      </c>
      <c r="J97" s="1" t="s">
        <v>28</v>
      </c>
      <c r="K97" s="1">
        <v>-1.2487760000000001</v>
      </c>
      <c r="L97" s="1">
        <v>3.1000000000000001E-5</v>
      </c>
      <c r="M97" s="1">
        <v>13</v>
      </c>
      <c r="N97" s="1" t="s">
        <v>32</v>
      </c>
    </row>
    <row r="98" spans="1:14" x14ac:dyDescent="0.55000000000000004">
      <c r="A98" s="50"/>
      <c r="B98" s="1">
        <v>96</v>
      </c>
      <c r="C98" s="1">
        <v>-83.27</v>
      </c>
      <c r="D98" s="1">
        <v>-14.109374000000001</v>
      </c>
      <c r="E98" s="1">
        <v>30.574722000000001</v>
      </c>
      <c r="F98" s="1">
        <v>21</v>
      </c>
      <c r="G98" s="1">
        <v>-7.2979999999999998E-3</v>
      </c>
      <c r="H98" s="1">
        <v>0</v>
      </c>
      <c r="I98" s="1">
        <v>33</v>
      </c>
      <c r="J98" s="1" t="s">
        <v>28</v>
      </c>
      <c r="K98" s="1">
        <v>-5.5750000000000001E-3</v>
      </c>
      <c r="L98" s="1">
        <v>0</v>
      </c>
      <c r="M98" s="1">
        <v>13</v>
      </c>
      <c r="N98" s="1" t="s">
        <v>28</v>
      </c>
    </row>
    <row r="99" spans="1:14" x14ac:dyDescent="0.55000000000000004">
      <c r="A99" s="50"/>
      <c r="B99" s="1">
        <v>97</v>
      </c>
      <c r="C99" s="1">
        <v>9.83</v>
      </c>
      <c r="D99" s="1">
        <v>-2.2556479999999999</v>
      </c>
      <c r="E99" s="1">
        <v>2.4879730000000002</v>
      </c>
      <c r="F99" s="1">
        <v>13</v>
      </c>
      <c r="G99" s="1">
        <v>-8.26E-3</v>
      </c>
      <c r="H99" s="1">
        <v>0</v>
      </c>
      <c r="I99" s="1">
        <v>23</v>
      </c>
      <c r="J99" s="1" t="s">
        <v>28</v>
      </c>
      <c r="K99" s="1">
        <v>1.059E-3</v>
      </c>
      <c r="L99" s="1">
        <v>0</v>
      </c>
      <c r="M99" s="1">
        <v>7</v>
      </c>
      <c r="N99" s="1" t="s">
        <v>28</v>
      </c>
    </row>
    <row r="100" spans="1:14" x14ac:dyDescent="0.55000000000000004">
      <c r="A100" s="50"/>
      <c r="B100" s="1">
        <v>98</v>
      </c>
      <c r="C100" s="1">
        <v>-77.31</v>
      </c>
      <c r="D100" s="1">
        <v>-23.404644000000001</v>
      </c>
      <c r="E100" s="1">
        <v>11.423152</v>
      </c>
      <c r="F100" s="1">
        <v>20</v>
      </c>
      <c r="G100" s="1">
        <v>2.7000000000000001E-3</v>
      </c>
      <c r="H100" s="1">
        <v>0</v>
      </c>
      <c r="I100" s="1">
        <v>31</v>
      </c>
      <c r="J100" s="1" t="s">
        <v>28</v>
      </c>
      <c r="K100" s="1">
        <v>-4.7783470000000001</v>
      </c>
      <c r="L100" s="1">
        <v>4.57E-4</v>
      </c>
      <c r="M100" s="1">
        <v>13</v>
      </c>
      <c r="N100" s="1" t="s">
        <v>32</v>
      </c>
    </row>
    <row r="101" spans="1:14" x14ac:dyDescent="0.55000000000000004">
      <c r="A101" s="50"/>
      <c r="B101" s="1">
        <v>99</v>
      </c>
      <c r="C101" s="1">
        <v>-9.7899999999999991</v>
      </c>
      <c r="D101" s="1">
        <v>-2.4479730000000002</v>
      </c>
      <c r="E101" s="1">
        <v>2.2956479999999999</v>
      </c>
      <c r="F101" s="1">
        <v>12</v>
      </c>
      <c r="G101" s="1">
        <v>1.6019999999999999E-3</v>
      </c>
      <c r="H101" s="1">
        <v>0</v>
      </c>
      <c r="I101" s="1">
        <v>23</v>
      </c>
      <c r="J101" s="1" t="s">
        <v>28</v>
      </c>
      <c r="K101" s="1">
        <v>3.5500000000000001E-4</v>
      </c>
      <c r="L101" s="1">
        <v>0</v>
      </c>
      <c r="M101" s="1">
        <v>7</v>
      </c>
      <c r="N101" s="1" t="s">
        <v>28</v>
      </c>
    </row>
    <row r="102" spans="1:14" ht="14.7" thickBot="1" x14ac:dyDescent="0.6">
      <c r="A102" s="51"/>
      <c r="B102" s="3">
        <v>100</v>
      </c>
      <c r="C102" s="1">
        <v>45.31</v>
      </c>
      <c r="D102" s="1">
        <v>57.395648000000001</v>
      </c>
      <c r="E102" s="1">
        <v>65.204083999999995</v>
      </c>
      <c r="F102" s="1">
        <v>14</v>
      </c>
      <c r="G102" s="1">
        <v>62.743675000000003</v>
      </c>
      <c r="H102" s="1">
        <v>-0.92114799999999997</v>
      </c>
      <c r="I102" s="1">
        <v>25</v>
      </c>
      <c r="J102" s="1" t="s">
        <v>27</v>
      </c>
      <c r="K102" s="1">
        <v>-1226.9977080000001</v>
      </c>
      <c r="L102" s="1">
        <v>30.110468000000001</v>
      </c>
      <c r="M102" s="1">
        <v>5</v>
      </c>
      <c r="N102" s="1" t="s">
        <v>32</v>
      </c>
    </row>
    <row r="103" spans="1:14" x14ac:dyDescent="0.55000000000000004">
      <c r="A103" s="52">
        <v>1.1700010000000001</v>
      </c>
      <c r="B103" s="4">
        <v>1</v>
      </c>
      <c r="C103" s="1">
        <v>-30.14</v>
      </c>
      <c r="D103" s="1">
        <v>-3.1059640000000002</v>
      </c>
      <c r="E103" s="1">
        <v>6.8669549999999999</v>
      </c>
      <c r="F103" s="1">
        <v>26</v>
      </c>
      <c r="G103" s="1">
        <v>-8.5509999999999996E-3</v>
      </c>
      <c r="H103" s="1">
        <v>0</v>
      </c>
      <c r="I103" s="1">
        <v>27</v>
      </c>
      <c r="J103" s="1" t="s">
        <v>28</v>
      </c>
      <c r="K103" s="1">
        <v>-1.110438</v>
      </c>
      <c r="L103" s="1">
        <v>2.5000000000000001E-5</v>
      </c>
      <c r="M103" s="1">
        <v>13</v>
      </c>
      <c r="N103" s="1" t="s">
        <v>32</v>
      </c>
    </row>
    <row r="104" spans="1:14" x14ac:dyDescent="0.55000000000000004">
      <c r="A104" s="50"/>
      <c r="B104" s="1">
        <v>2</v>
      </c>
      <c r="C104" s="1">
        <v>23.4</v>
      </c>
      <c r="D104" s="1">
        <v>-3.634036</v>
      </c>
      <c r="E104" s="1">
        <v>3.6513040000000001</v>
      </c>
      <c r="F104" s="1">
        <v>24</v>
      </c>
      <c r="G104" s="1">
        <v>-9.8189999999999996E-3</v>
      </c>
      <c r="H104" s="1">
        <v>0</v>
      </c>
      <c r="I104" s="1">
        <v>25</v>
      </c>
      <c r="J104" s="1" t="s">
        <v>28</v>
      </c>
      <c r="K104" s="1">
        <v>3.9999999999999998E-6</v>
      </c>
      <c r="L104" s="1">
        <v>0</v>
      </c>
      <c r="M104" s="1">
        <v>7</v>
      </c>
      <c r="N104" s="1" t="s">
        <v>28</v>
      </c>
    </row>
    <row r="105" spans="1:14" x14ac:dyDescent="0.55000000000000004">
      <c r="A105" s="50"/>
      <c r="B105" s="1">
        <v>3</v>
      </c>
      <c r="C105" s="1">
        <v>30.77</v>
      </c>
      <c r="D105" s="1">
        <v>-6.236955</v>
      </c>
      <c r="E105" s="1">
        <v>3.7359640000000001</v>
      </c>
      <c r="F105" s="1">
        <v>26</v>
      </c>
      <c r="G105" s="1">
        <v>-4.6620000000000003E-3</v>
      </c>
      <c r="H105" s="1">
        <v>0</v>
      </c>
      <c r="I105" s="1">
        <v>27</v>
      </c>
      <c r="J105" s="1" t="s">
        <v>28</v>
      </c>
      <c r="K105" s="1">
        <v>-21.223251000000001</v>
      </c>
      <c r="L105" s="1">
        <v>9.0089999999999996E-3</v>
      </c>
      <c r="M105" s="1">
        <v>13</v>
      </c>
      <c r="N105" s="1" t="s">
        <v>32</v>
      </c>
    </row>
    <row r="106" spans="1:14" x14ac:dyDescent="0.55000000000000004">
      <c r="A106" s="50"/>
      <c r="B106" s="1">
        <v>4</v>
      </c>
      <c r="C106" s="1">
        <v>-7.18</v>
      </c>
      <c r="D106" s="1">
        <v>-0.59986499999999998</v>
      </c>
      <c r="E106" s="1">
        <v>1.8275619999999999</v>
      </c>
      <c r="F106" s="1">
        <v>16</v>
      </c>
      <c r="G106" s="1">
        <v>-1.057E-3</v>
      </c>
      <c r="H106" s="1">
        <v>0</v>
      </c>
      <c r="I106" s="1">
        <v>21</v>
      </c>
      <c r="J106" s="1" t="s">
        <v>28</v>
      </c>
      <c r="K106" s="1">
        <v>-0.14987700000000001</v>
      </c>
      <c r="L106" s="1">
        <v>0</v>
      </c>
      <c r="M106" s="1">
        <v>10</v>
      </c>
      <c r="N106" s="1" t="s">
        <v>28</v>
      </c>
    </row>
    <row r="107" spans="1:14" x14ac:dyDescent="0.55000000000000004">
      <c r="A107" s="50"/>
      <c r="B107" s="1">
        <v>5</v>
      </c>
      <c r="C107" s="1">
        <v>-35.71</v>
      </c>
      <c r="D107" s="1">
        <v>-4.0801509999999999</v>
      </c>
      <c r="E107" s="1">
        <v>7.5881749999999997</v>
      </c>
      <c r="F107" s="1">
        <v>26</v>
      </c>
      <c r="G107" s="1">
        <v>-3.1779999999999998E-3</v>
      </c>
      <c r="H107" s="1">
        <v>0</v>
      </c>
      <c r="I107" s="1">
        <v>27</v>
      </c>
      <c r="J107" s="1" t="s">
        <v>28</v>
      </c>
      <c r="K107" s="1">
        <v>-1.1559919999999999</v>
      </c>
      <c r="L107" s="1">
        <v>2.6999999999999999E-5</v>
      </c>
      <c r="M107" s="1">
        <v>13</v>
      </c>
      <c r="N107" s="1" t="s">
        <v>32</v>
      </c>
    </row>
    <row r="108" spans="1:14" x14ac:dyDescent="0.55000000000000004">
      <c r="A108" s="50"/>
      <c r="B108" s="1">
        <v>6</v>
      </c>
      <c r="C108" s="1">
        <v>-61.62</v>
      </c>
      <c r="D108" s="1">
        <v>-10.961092000000001</v>
      </c>
      <c r="E108" s="1">
        <v>7.7270979999999998</v>
      </c>
      <c r="F108" s="1">
        <v>29</v>
      </c>
      <c r="G108" s="1">
        <v>3.032E-3</v>
      </c>
      <c r="H108" s="1">
        <v>0</v>
      </c>
      <c r="I108" s="1">
        <v>29</v>
      </c>
      <c r="J108" s="1" t="s">
        <v>28</v>
      </c>
      <c r="K108" s="1">
        <v>-21.626138999999998</v>
      </c>
      <c r="L108" s="1">
        <v>9.3539999999999995E-3</v>
      </c>
      <c r="M108" s="1">
        <v>13</v>
      </c>
      <c r="N108" s="1" t="s">
        <v>32</v>
      </c>
    </row>
    <row r="109" spans="1:14" x14ac:dyDescent="0.55000000000000004">
      <c r="A109" s="50"/>
      <c r="B109" s="1">
        <v>7</v>
      </c>
      <c r="C109" s="1">
        <v>-31</v>
      </c>
      <c r="D109" s="1">
        <v>-3.965964</v>
      </c>
      <c r="E109" s="1">
        <v>6.0069549999999996</v>
      </c>
      <c r="F109" s="1">
        <v>25</v>
      </c>
      <c r="G109" s="1">
        <v>-5.2599999999999999E-4</v>
      </c>
      <c r="H109" s="1">
        <v>0</v>
      </c>
      <c r="I109" s="1">
        <v>27</v>
      </c>
      <c r="J109" s="1" t="s">
        <v>28</v>
      </c>
      <c r="K109" s="1">
        <v>-3.5354999999999998E-2</v>
      </c>
      <c r="L109" s="1">
        <v>0</v>
      </c>
      <c r="M109" s="1">
        <v>10</v>
      </c>
      <c r="N109" s="1" t="s">
        <v>28</v>
      </c>
    </row>
    <row r="110" spans="1:14" x14ac:dyDescent="0.55000000000000004">
      <c r="A110" s="50"/>
      <c r="B110" s="1">
        <v>8</v>
      </c>
      <c r="C110" s="1">
        <v>54.77</v>
      </c>
      <c r="D110" s="1">
        <v>61.350135000000002</v>
      </c>
      <c r="E110" s="1">
        <v>63.777562000000003</v>
      </c>
      <c r="F110" s="1">
        <v>16</v>
      </c>
      <c r="G110" s="1">
        <v>62.740915000000001</v>
      </c>
      <c r="H110" s="1">
        <v>-0.92114799999999997</v>
      </c>
      <c r="I110" s="1">
        <v>21</v>
      </c>
      <c r="J110" s="1" t="s">
        <v>27</v>
      </c>
      <c r="K110" s="1">
        <v>-35243.746069000001</v>
      </c>
      <c r="L110" s="1">
        <v>24842.43274</v>
      </c>
      <c r="M110" s="1">
        <v>5</v>
      </c>
      <c r="N110" s="1" t="s">
        <v>32</v>
      </c>
    </row>
    <row r="111" spans="1:14" x14ac:dyDescent="0.55000000000000004">
      <c r="A111" s="50"/>
      <c r="B111" s="1">
        <v>9</v>
      </c>
      <c r="C111" s="1">
        <v>-63.61</v>
      </c>
      <c r="D111" s="1">
        <v>-12.951091999999999</v>
      </c>
      <c r="E111" s="1">
        <v>5.7370979999999996</v>
      </c>
      <c r="F111" s="1">
        <v>29</v>
      </c>
      <c r="G111" s="1">
        <v>1.9059999999999999E-3</v>
      </c>
      <c r="H111" s="1">
        <v>0</v>
      </c>
      <c r="I111" s="1">
        <v>29</v>
      </c>
      <c r="J111" s="1" t="s">
        <v>28</v>
      </c>
      <c r="K111" s="1">
        <v>-7.8066789999999999</v>
      </c>
      <c r="L111" s="1">
        <v>1.219E-3</v>
      </c>
      <c r="M111" s="1">
        <v>13</v>
      </c>
      <c r="N111" s="1" t="s">
        <v>32</v>
      </c>
    </row>
    <row r="112" spans="1:14" x14ac:dyDescent="0.55000000000000004">
      <c r="A112" s="50"/>
      <c r="B112" s="1">
        <v>10</v>
      </c>
      <c r="C112" s="1">
        <v>27.49</v>
      </c>
      <c r="D112" s="1">
        <v>-4.1398489999999999</v>
      </c>
      <c r="E112" s="1">
        <v>4.3840060000000003</v>
      </c>
      <c r="F112" s="1">
        <v>25</v>
      </c>
      <c r="G112" s="1">
        <v>-1.1782000000000001E-2</v>
      </c>
      <c r="H112" s="1">
        <v>0</v>
      </c>
      <c r="I112" s="1">
        <v>25</v>
      </c>
      <c r="J112" s="1" t="s">
        <v>28</v>
      </c>
      <c r="K112" s="1">
        <v>8.2899999999999998E-4</v>
      </c>
      <c r="L112" s="1">
        <v>0</v>
      </c>
      <c r="M112" s="1">
        <v>7</v>
      </c>
      <c r="N112" s="1" t="s">
        <v>28</v>
      </c>
    </row>
    <row r="113" spans="1:14" x14ac:dyDescent="0.55000000000000004">
      <c r="A113" s="50"/>
      <c r="B113" s="1">
        <v>11</v>
      </c>
      <c r="C113" s="1">
        <v>85.69</v>
      </c>
      <c r="D113" s="1">
        <v>58.655963999999997</v>
      </c>
      <c r="E113" s="1">
        <v>65.941304000000002</v>
      </c>
      <c r="F113" s="1">
        <v>24</v>
      </c>
      <c r="G113" s="1">
        <v>62.745201999999999</v>
      </c>
      <c r="H113" s="1">
        <v>-0.92114799999999997</v>
      </c>
      <c r="I113" s="1">
        <v>25</v>
      </c>
      <c r="J113" s="1" t="s">
        <v>27</v>
      </c>
      <c r="K113" s="1">
        <v>-1459.1292269999999</v>
      </c>
      <c r="L113" s="1">
        <v>42.581161999999999</v>
      </c>
      <c r="M113" s="1">
        <v>5</v>
      </c>
      <c r="N113" s="1" t="s">
        <v>32</v>
      </c>
    </row>
    <row r="114" spans="1:14" x14ac:dyDescent="0.55000000000000004">
      <c r="A114" s="50"/>
      <c r="B114" s="1">
        <v>12</v>
      </c>
      <c r="C114" s="1">
        <v>-65.37</v>
      </c>
      <c r="D114" s="1">
        <v>-6.0990270000000004</v>
      </c>
      <c r="E114" s="1">
        <v>15.766173999999999</v>
      </c>
      <c r="F114" s="1">
        <v>30</v>
      </c>
      <c r="G114" s="1">
        <v>-6.5560000000000002E-3</v>
      </c>
      <c r="H114" s="1">
        <v>0</v>
      </c>
      <c r="I114" s="1">
        <v>29</v>
      </c>
      <c r="J114" s="1" t="s">
        <v>28</v>
      </c>
      <c r="K114" s="1">
        <v>-0.65445799999999998</v>
      </c>
      <c r="L114" s="1">
        <v>9.0000000000000002E-6</v>
      </c>
      <c r="M114" s="1">
        <v>13</v>
      </c>
      <c r="N114" s="1" t="s">
        <v>28</v>
      </c>
    </row>
    <row r="115" spans="1:14" x14ac:dyDescent="0.55000000000000004">
      <c r="A115" s="50"/>
      <c r="B115" s="1">
        <v>13</v>
      </c>
      <c r="C115" s="1">
        <v>-83.93</v>
      </c>
      <c r="D115" s="1">
        <v>-14.582902000000001</v>
      </c>
      <c r="E115" s="1">
        <v>10.999404</v>
      </c>
      <c r="F115" s="1">
        <v>31</v>
      </c>
      <c r="G115" s="1">
        <v>-9.7000000000000003E-3</v>
      </c>
      <c r="H115" s="1">
        <v>0</v>
      </c>
      <c r="I115" s="1">
        <v>29</v>
      </c>
      <c r="J115" s="1" t="s">
        <v>28</v>
      </c>
      <c r="K115" s="1">
        <v>-22.518660000000001</v>
      </c>
      <c r="L115" s="1">
        <v>1.0142E-2</v>
      </c>
      <c r="M115" s="1">
        <v>13</v>
      </c>
      <c r="N115" s="1" t="s">
        <v>32</v>
      </c>
    </row>
    <row r="116" spans="1:14" x14ac:dyDescent="0.55000000000000004">
      <c r="A116" s="50"/>
      <c r="B116" s="1">
        <v>14</v>
      </c>
      <c r="C116" s="1">
        <v>-62.81</v>
      </c>
      <c r="D116" s="1">
        <v>-12.151092</v>
      </c>
      <c r="E116" s="1">
        <v>6.5370980000000003</v>
      </c>
      <c r="F116" s="1">
        <v>29</v>
      </c>
      <c r="G116" s="1">
        <v>-8.1080000000000006E-3</v>
      </c>
      <c r="H116" s="1">
        <v>0</v>
      </c>
      <c r="I116" s="1">
        <v>29</v>
      </c>
      <c r="J116" s="1" t="s">
        <v>28</v>
      </c>
      <c r="K116" s="1">
        <v>-10.053182</v>
      </c>
      <c r="L116" s="1">
        <v>2.0209999999999998E-3</v>
      </c>
      <c r="M116" s="1">
        <v>13</v>
      </c>
      <c r="N116" s="1" t="s">
        <v>32</v>
      </c>
    </row>
    <row r="117" spans="1:14" x14ac:dyDescent="0.55000000000000004">
      <c r="A117" s="50"/>
      <c r="B117" s="1">
        <v>15</v>
      </c>
      <c r="C117" s="1">
        <v>-58.47</v>
      </c>
      <c r="D117" s="1">
        <v>-7.8110920000000004</v>
      </c>
      <c r="E117" s="1">
        <v>10.877098</v>
      </c>
      <c r="F117" s="1">
        <v>29</v>
      </c>
      <c r="G117" s="1">
        <v>-2.3900000000000001E-4</v>
      </c>
      <c r="H117" s="1">
        <v>0</v>
      </c>
      <c r="I117" s="1">
        <v>29</v>
      </c>
      <c r="J117" s="1" t="s">
        <v>28</v>
      </c>
      <c r="K117" s="1">
        <v>6.6E-3</v>
      </c>
      <c r="L117" s="1">
        <v>0</v>
      </c>
      <c r="M117" s="1">
        <v>12</v>
      </c>
      <c r="N117" s="1" t="s">
        <v>28</v>
      </c>
    </row>
    <row r="118" spans="1:14" x14ac:dyDescent="0.55000000000000004">
      <c r="A118" s="50"/>
      <c r="B118" s="1">
        <v>16</v>
      </c>
      <c r="C118" s="1">
        <v>-41.12</v>
      </c>
      <c r="D118" s="1">
        <v>-4.1130449999999996</v>
      </c>
      <c r="E118" s="1">
        <v>9.5389079999999993</v>
      </c>
      <c r="F118" s="1">
        <v>27</v>
      </c>
      <c r="G118" s="1">
        <v>-9.7649999999999994E-3</v>
      </c>
      <c r="H118" s="1">
        <v>0</v>
      </c>
      <c r="I118" s="1">
        <v>27</v>
      </c>
      <c r="J118" s="1" t="s">
        <v>28</v>
      </c>
      <c r="K118" s="1">
        <v>-1.5321260000000001</v>
      </c>
      <c r="L118" s="1">
        <v>4.6999999999999997E-5</v>
      </c>
      <c r="M118" s="1">
        <v>13</v>
      </c>
      <c r="N118" s="1" t="s">
        <v>32</v>
      </c>
    </row>
    <row r="119" spans="1:14" x14ac:dyDescent="0.55000000000000004">
      <c r="A119" s="50"/>
      <c r="B119" s="1">
        <v>17</v>
      </c>
      <c r="C119" s="1">
        <v>-26.98</v>
      </c>
      <c r="D119" s="1">
        <v>-3.8740060000000001</v>
      </c>
      <c r="E119" s="1">
        <v>4.6498489999999997</v>
      </c>
      <c r="F119" s="1">
        <v>24</v>
      </c>
      <c r="G119" s="1">
        <v>-5.0220000000000004E-3</v>
      </c>
      <c r="H119" s="1">
        <v>0</v>
      </c>
      <c r="I119" s="1">
        <v>25</v>
      </c>
      <c r="J119" s="1" t="s">
        <v>28</v>
      </c>
      <c r="K119" s="1">
        <v>9.5350000000000001E-3</v>
      </c>
      <c r="L119" s="1">
        <v>0</v>
      </c>
      <c r="M119" s="1">
        <v>7</v>
      </c>
      <c r="N119" s="1" t="s">
        <v>28</v>
      </c>
    </row>
    <row r="120" spans="1:14" x14ac:dyDescent="0.55000000000000004">
      <c r="A120" s="50"/>
      <c r="B120" s="1">
        <v>18</v>
      </c>
      <c r="C120" s="1">
        <v>-86.68</v>
      </c>
      <c r="D120" s="1">
        <v>-17.332902000000001</v>
      </c>
      <c r="E120" s="1">
        <v>8.2494040000000002</v>
      </c>
      <c r="F120" s="1">
        <v>31</v>
      </c>
      <c r="G120" s="1">
        <v>-7.424E-3</v>
      </c>
      <c r="H120" s="1">
        <v>0</v>
      </c>
      <c r="I120" s="1">
        <v>29</v>
      </c>
      <c r="J120" s="1" t="s">
        <v>28</v>
      </c>
      <c r="K120" s="1">
        <v>-6.2865310000000001</v>
      </c>
      <c r="L120" s="1">
        <v>7.9000000000000001E-4</v>
      </c>
      <c r="M120" s="1">
        <v>13</v>
      </c>
      <c r="N120" s="1" t="s">
        <v>32</v>
      </c>
    </row>
    <row r="121" spans="1:14" x14ac:dyDescent="0.55000000000000004">
      <c r="A121" s="50"/>
      <c r="B121" s="1">
        <v>19</v>
      </c>
      <c r="C121" s="1">
        <v>91.93</v>
      </c>
      <c r="D121" s="1">
        <v>60.300151</v>
      </c>
      <c r="E121" s="1">
        <v>68.824005999999997</v>
      </c>
      <c r="F121" s="1">
        <v>25</v>
      </c>
      <c r="G121" s="1">
        <v>62.744174000000001</v>
      </c>
      <c r="H121" s="1">
        <v>-0.92114799999999997</v>
      </c>
      <c r="I121" s="1">
        <v>25</v>
      </c>
      <c r="J121" s="1" t="s">
        <v>27</v>
      </c>
      <c r="K121" s="1">
        <v>-1069.5549880000001</v>
      </c>
      <c r="L121" s="1">
        <v>22.878957</v>
      </c>
      <c r="M121" s="1">
        <v>5</v>
      </c>
      <c r="N121" s="1" t="s">
        <v>32</v>
      </c>
    </row>
    <row r="122" spans="1:14" x14ac:dyDescent="0.55000000000000004">
      <c r="A122" s="50"/>
      <c r="B122" s="1">
        <v>20</v>
      </c>
      <c r="C122" s="1">
        <v>35.49</v>
      </c>
      <c r="D122" s="1">
        <v>-7.8081750000000003</v>
      </c>
      <c r="E122" s="1">
        <v>3.8601510000000001</v>
      </c>
      <c r="F122" s="1">
        <v>27</v>
      </c>
      <c r="G122" s="1">
        <v>2.3700000000000001E-3</v>
      </c>
      <c r="H122" s="1">
        <v>0</v>
      </c>
      <c r="I122" s="1">
        <v>27</v>
      </c>
      <c r="J122" s="1" t="s">
        <v>28</v>
      </c>
      <c r="K122" s="1">
        <v>-12.981692000000001</v>
      </c>
      <c r="L122" s="1">
        <v>3.3700000000000002E-3</v>
      </c>
      <c r="M122" s="1">
        <v>13</v>
      </c>
      <c r="N122" s="1" t="s">
        <v>32</v>
      </c>
    </row>
    <row r="123" spans="1:14" x14ac:dyDescent="0.55000000000000004">
      <c r="A123" s="50"/>
      <c r="B123" s="1">
        <v>21</v>
      </c>
      <c r="C123" s="1">
        <v>-81.84</v>
      </c>
      <c r="D123" s="1">
        <v>-12.492902000000001</v>
      </c>
      <c r="E123" s="1">
        <v>13.089404</v>
      </c>
      <c r="F123" s="1">
        <v>31</v>
      </c>
      <c r="G123" s="1">
        <v>1.243E-3</v>
      </c>
      <c r="H123" s="1">
        <v>0</v>
      </c>
      <c r="I123" s="1">
        <v>29</v>
      </c>
      <c r="J123" s="1" t="s">
        <v>28</v>
      </c>
      <c r="K123" s="1">
        <v>1.799E-3</v>
      </c>
      <c r="L123" s="1">
        <v>0</v>
      </c>
      <c r="M123" s="1">
        <v>7</v>
      </c>
      <c r="N123" s="1" t="s">
        <v>28</v>
      </c>
    </row>
    <row r="124" spans="1:14" x14ac:dyDescent="0.55000000000000004">
      <c r="A124" s="50"/>
      <c r="B124" s="1">
        <v>22</v>
      </c>
      <c r="C124" s="1">
        <v>-28.43</v>
      </c>
      <c r="D124" s="1">
        <v>-5.3240059999999998</v>
      </c>
      <c r="E124" s="1">
        <v>3.1998489999999999</v>
      </c>
      <c r="F124" s="1">
        <v>24</v>
      </c>
      <c r="G124" s="1">
        <v>-4.1529999999999996E-3</v>
      </c>
      <c r="H124" s="1">
        <v>0</v>
      </c>
      <c r="I124" s="1">
        <v>25</v>
      </c>
      <c r="J124" s="1" t="s">
        <v>28</v>
      </c>
      <c r="K124" s="1">
        <v>-23.787803</v>
      </c>
      <c r="L124" s="1">
        <v>1.1317000000000001E-2</v>
      </c>
      <c r="M124" s="1">
        <v>13</v>
      </c>
      <c r="N124" s="1" t="s">
        <v>32</v>
      </c>
    </row>
    <row r="125" spans="1:14" x14ac:dyDescent="0.55000000000000004">
      <c r="A125" s="50"/>
      <c r="B125" s="1">
        <v>23</v>
      </c>
      <c r="C125" s="1">
        <v>-70.34</v>
      </c>
      <c r="D125" s="1">
        <v>-11.069027</v>
      </c>
      <c r="E125" s="1">
        <v>10.796174000000001</v>
      </c>
      <c r="F125" s="1">
        <v>30</v>
      </c>
      <c r="G125" s="1">
        <v>-1.039E-3</v>
      </c>
      <c r="H125" s="1">
        <v>0</v>
      </c>
      <c r="I125" s="1">
        <v>29</v>
      </c>
      <c r="J125" s="1" t="s">
        <v>28</v>
      </c>
      <c r="K125" s="1">
        <v>4.08E-4</v>
      </c>
      <c r="L125" s="1">
        <v>0</v>
      </c>
      <c r="M125" s="1">
        <v>7</v>
      </c>
      <c r="N125" s="1" t="s">
        <v>28</v>
      </c>
    </row>
    <row r="126" spans="1:14" x14ac:dyDescent="0.55000000000000004">
      <c r="A126" s="50"/>
      <c r="B126" s="1">
        <v>24</v>
      </c>
      <c r="C126" s="1">
        <v>-54.33</v>
      </c>
      <c r="D126" s="1">
        <v>-11.031825</v>
      </c>
      <c r="E126" s="1">
        <v>4.9409729999999996</v>
      </c>
      <c r="F126" s="1">
        <v>28</v>
      </c>
      <c r="G126" s="1">
        <v>-4.1660000000000004E-3</v>
      </c>
      <c r="H126" s="1">
        <v>0</v>
      </c>
      <c r="I126" s="1">
        <v>29</v>
      </c>
      <c r="J126" s="1" t="s">
        <v>28</v>
      </c>
      <c r="K126" s="1">
        <v>-9.023123</v>
      </c>
      <c r="L126" s="1">
        <v>1.6280000000000001E-3</v>
      </c>
      <c r="M126" s="1">
        <v>13</v>
      </c>
      <c r="N126" s="1" t="s">
        <v>32</v>
      </c>
    </row>
    <row r="127" spans="1:14" x14ac:dyDescent="0.55000000000000004">
      <c r="A127" s="50"/>
      <c r="B127" s="1">
        <v>25</v>
      </c>
      <c r="C127" s="1">
        <v>-55.97</v>
      </c>
      <c r="D127" s="1">
        <v>-5.3110920000000004</v>
      </c>
      <c r="E127" s="1">
        <v>13.377098</v>
      </c>
      <c r="F127" s="1">
        <v>29</v>
      </c>
      <c r="G127" s="1">
        <v>-2.6050000000000001E-3</v>
      </c>
      <c r="H127" s="1">
        <v>0</v>
      </c>
      <c r="I127" s="1">
        <v>29</v>
      </c>
      <c r="J127" s="1" t="s">
        <v>28</v>
      </c>
      <c r="K127" s="1">
        <v>-1.0781989999999999</v>
      </c>
      <c r="L127" s="1">
        <v>2.3E-5</v>
      </c>
      <c r="M127" s="1">
        <v>13</v>
      </c>
      <c r="N127" s="1" t="s">
        <v>32</v>
      </c>
    </row>
    <row r="128" spans="1:14" x14ac:dyDescent="0.55000000000000004">
      <c r="A128" s="50"/>
      <c r="B128" s="1">
        <v>26</v>
      </c>
      <c r="C128" s="1">
        <v>34.299999999999997</v>
      </c>
      <c r="D128" s="1">
        <v>-2.7069549999999998</v>
      </c>
      <c r="E128" s="1">
        <v>7.2659640000000003</v>
      </c>
      <c r="F128" s="1">
        <v>26</v>
      </c>
      <c r="G128" s="1">
        <v>-2.9640000000000001E-3</v>
      </c>
      <c r="H128" s="1">
        <v>0</v>
      </c>
      <c r="I128" s="1">
        <v>27</v>
      </c>
      <c r="J128" s="1" t="s">
        <v>28</v>
      </c>
      <c r="K128" s="1">
        <v>-1.2802789999999999</v>
      </c>
      <c r="L128" s="1">
        <v>3.3000000000000003E-5</v>
      </c>
      <c r="M128" s="1">
        <v>13</v>
      </c>
      <c r="N128" s="1" t="s">
        <v>32</v>
      </c>
    </row>
    <row r="129" spans="1:14" x14ac:dyDescent="0.55000000000000004">
      <c r="A129" s="50"/>
      <c r="B129" s="1">
        <v>27</v>
      </c>
      <c r="C129" s="1">
        <v>-57.51</v>
      </c>
      <c r="D129" s="1">
        <v>-6.8510920000000004</v>
      </c>
      <c r="E129" s="1">
        <v>11.837097999999999</v>
      </c>
      <c r="F129" s="1">
        <v>29</v>
      </c>
      <c r="G129" s="1">
        <v>-9.3629999999999998E-3</v>
      </c>
      <c r="H129" s="1">
        <v>0</v>
      </c>
      <c r="I129" s="1">
        <v>29</v>
      </c>
      <c r="J129" s="1" t="s">
        <v>28</v>
      </c>
      <c r="K129" s="1">
        <v>-2.2868409999999999</v>
      </c>
      <c r="L129" s="1">
        <v>1.05E-4</v>
      </c>
      <c r="M129" s="1">
        <v>13</v>
      </c>
      <c r="N129" s="1" t="s">
        <v>32</v>
      </c>
    </row>
    <row r="130" spans="1:14" x14ac:dyDescent="0.55000000000000004">
      <c r="A130" s="50"/>
      <c r="B130" s="1">
        <v>28</v>
      </c>
      <c r="C130" s="1">
        <v>16.38</v>
      </c>
      <c r="D130" s="1">
        <v>-3.3686959999999999</v>
      </c>
      <c r="E130" s="1">
        <v>1.953335</v>
      </c>
      <c r="F130" s="1">
        <v>22</v>
      </c>
      <c r="G130" s="1">
        <v>-9.8499999999999998E-4</v>
      </c>
      <c r="H130" s="1">
        <v>0</v>
      </c>
      <c r="I130" s="1">
        <v>23</v>
      </c>
      <c r="J130" s="1" t="s">
        <v>28</v>
      </c>
      <c r="K130" s="1">
        <v>2.8960000000000001E-3</v>
      </c>
      <c r="L130" s="1">
        <v>0</v>
      </c>
      <c r="M130" s="1">
        <v>12</v>
      </c>
      <c r="N130" s="1" t="s">
        <v>28</v>
      </c>
    </row>
    <row r="131" spans="1:14" x14ac:dyDescent="0.55000000000000004">
      <c r="A131" s="50"/>
      <c r="B131" s="1">
        <v>29</v>
      </c>
      <c r="C131" s="1">
        <v>84.34</v>
      </c>
      <c r="D131" s="1">
        <v>57.305964000000003</v>
      </c>
      <c r="E131" s="1">
        <v>64.591303999999994</v>
      </c>
      <c r="F131" s="1">
        <v>24</v>
      </c>
      <c r="G131" s="1">
        <v>62.745980000000003</v>
      </c>
      <c r="H131" s="1">
        <v>-0.92114799999999997</v>
      </c>
      <c r="I131" s="1">
        <v>25</v>
      </c>
      <c r="J131" s="1" t="s">
        <v>27</v>
      </c>
      <c r="K131" s="1">
        <v>-1525.183853</v>
      </c>
      <c r="L131" s="1">
        <v>46.523716</v>
      </c>
      <c r="M131" s="1">
        <v>5</v>
      </c>
      <c r="N131" s="1" t="s">
        <v>32</v>
      </c>
    </row>
    <row r="132" spans="1:14" x14ac:dyDescent="0.55000000000000004">
      <c r="A132" s="50"/>
      <c r="B132" s="1">
        <v>30</v>
      </c>
      <c r="C132" s="1">
        <v>-74.97</v>
      </c>
      <c r="D132" s="1">
        <v>-15.699026999999999</v>
      </c>
      <c r="E132" s="1">
        <v>6.1661739999999998</v>
      </c>
      <c r="F132" s="1">
        <v>30</v>
      </c>
      <c r="G132" s="1">
        <v>-2.4529999999999999E-3</v>
      </c>
      <c r="H132" s="1">
        <v>0</v>
      </c>
      <c r="I132" s="1">
        <v>29</v>
      </c>
      <c r="J132" s="1" t="s">
        <v>28</v>
      </c>
      <c r="K132" s="1">
        <v>-6.2356410000000002</v>
      </c>
      <c r="L132" s="1">
        <v>7.7800000000000005E-4</v>
      </c>
      <c r="M132" s="1">
        <v>13</v>
      </c>
      <c r="N132" s="1" t="s">
        <v>32</v>
      </c>
    </row>
    <row r="133" spans="1:14" x14ac:dyDescent="0.55000000000000004">
      <c r="A133" s="50"/>
      <c r="B133" s="1">
        <v>31</v>
      </c>
      <c r="C133" s="1">
        <v>-17.989999999999998</v>
      </c>
      <c r="D133" s="1">
        <v>-3.5633349999999999</v>
      </c>
      <c r="E133" s="1">
        <v>1.758696</v>
      </c>
      <c r="F133" s="1">
        <v>21</v>
      </c>
      <c r="G133" s="1">
        <v>-1.2406E-2</v>
      </c>
      <c r="H133" s="1">
        <v>0</v>
      </c>
      <c r="I133" s="1">
        <v>23</v>
      </c>
      <c r="J133" s="1" t="s">
        <v>28</v>
      </c>
      <c r="K133" s="1">
        <v>2.104E-3</v>
      </c>
      <c r="L133" s="1">
        <v>0</v>
      </c>
      <c r="M133" s="1">
        <v>12</v>
      </c>
      <c r="N133" s="1" t="s">
        <v>28</v>
      </c>
    </row>
    <row r="134" spans="1:14" x14ac:dyDescent="0.55000000000000004">
      <c r="A134" s="50"/>
      <c r="B134" s="1">
        <v>32</v>
      </c>
      <c r="C134" s="1">
        <v>5.61</v>
      </c>
      <c r="D134" s="1">
        <v>-0.97013499999999997</v>
      </c>
      <c r="E134" s="1">
        <v>0.80313100000000004</v>
      </c>
      <c r="F134" s="1">
        <v>15</v>
      </c>
      <c r="G134" s="1">
        <v>-3.591E-3</v>
      </c>
      <c r="H134" s="1">
        <v>0</v>
      </c>
      <c r="I134" s="1">
        <v>19</v>
      </c>
      <c r="J134" s="1" t="s">
        <v>28</v>
      </c>
      <c r="K134" s="1">
        <v>-3.3890000000000001E-3</v>
      </c>
      <c r="L134" s="1">
        <v>0</v>
      </c>
      <c r="M134" s="1">
        <v>7</v>
      </c>
      <c r="N134" s="1" t="s">
        <v>28</v>
      </c>
    </row>
    <row r="135" spans="1:14" x14ac:dyDescent="0.55000000000000004">
      <c r="A135" s="50"/>
      <c r="B135" s="1">
        <v>33</v>
      </c>
      <c r="C135" s="1">
        <v>-97</v>
      </c>
      <c r="D135" s="1">
        <v>-15.863826</v>
      </c>
      <c r="E135" s="1">
        <v>14.067498000000001</v>
      </c>
      <c r="F135" s="1">
        <v>32</v>
      </c>
      <c r="G135" s="1">
        <v>-6.8820000000000001E-3</v>
      </c>
      <c r="H135" s="1">
        <v>0</v>
      </c>
      <c r="I135" s="1">
        <v>31</v>
      </c>
      <c r="J135" s="1" t="s">
        <v>28</v>
      </c>
      <c r="K135" s="1">
        <v>5.8739999999999999E-3</v>
      </c>
      <c r="L135" s="1">
        <v>0</v>
      </c>
      <c r="M135" s="1">
        <v>12</v>
      </c>
      <c r="N135" s="1" t="s">
        <v>28</v>
      </c>
    </row>
    <row r="136" spans="1:14" x14ac:dyDescent="0.55000000000000004">
      <c r="A136" s="50"/>
      <c r="B136" s="1">
        <v>34</v>
      </c>
      <c r="C136" s="1">
        <v>-6.81</v>
      </c>
      <c r="D136" s="1">
        <v>-1.1859580000000001</v>
      </c>
      <c r="E136" s="1">
        <v>0.888764</v>
      </c>
      <c r="F136" s="1">
        <v>15</v>
      </c>
      <c r="G136" s="1">
        <v>-1.0579E-2</v>
      </c>
      <c r="H136" s="1">
        <v>0</v>
      </c>
      <c r="I136" s="1">
        <v>19</v>
      </c>
      <c r="J136" s="1" t="s">
        <v>28</v>
      </c>
      <c r="K136" s="1">
        <v>-5.9839999999999997E-3</v>
      </c>
      <c r="L136" s="1">
        <v>0</v>
      </c>
      <c r="M136" s="1">
        <v>7</v>
      </c>
      <c r="N136" s="1" t="s">
        <v>28</v>
      </c>
    </row>
    <row r="137" spans="1:14" x14ac:dyDescent="0.55000000000000004">
      <c r="A137" s="50"/>
      <c r="B137" s="1">
        <v>35</v>
      </c>
      <c r="C137" s="1">
        <v>1.94</v>
      </c>
      <c r="D137" s="1">
        <v>-0.25245699999999999</v>
      </c>
      <c r="E137" s="1">
        <v>0.33838299999999999</v>
      </c>
      <c r="F137" s="1">
        <v>8</v>
      </c>
      <c r="G137" s="1">
        <v>-1.8900000000000001E-4</v>
      </c>
      <c r="H137" s="1">
        <v>0</v>
      </c>
      <c r="I137" s="1">
        <v>15</v>
      </c>
      <c r="J137" s="1" t="s">
        <v>28</v>
      </c>
      <c r="K137" s="1">
        <v>-0.27794400000000002</v>
      </c>
      <c r="L137" s="1">
        <v>1.9999999999999999E-6</v>
      </c>
      <c r="M137" s="1">
        <v>10</v>
      </c>
      <c r="N137" s="1" t="s">
        <v>32</v>
      </c>
    </row>
    <row r="138" spans="1:14" x14ac:dyDescent="0.55000000000000004">
      <c r="A138" s="50"/>
      <c r="B138" s="1">
        <v>36</v>
      </c>
      <c r="C138" s="1">
        <v>94.65</v>
      </c>
      <c r="D138" s="1">
        <v>57.643045000000001</v>
      </c>
      <c r="E138" s="1">
        <v>67.615964000000005</v>
      </c>
      <c r="F138" s="1">
        <v>26</v>
      </c>
      <c r="G138" s="1">
        <v>62.745032999999999</v>
      </c>
      <c r="H138" s="1">
        <v>-0.92114799999999997</v>
      </c>
      <c r="I138" s="1">
        <v>27</v>
      </c>
      <c r="J138" s="1" t="s">
        <v>27</v>
      </c>
      <c r="K138" s="1">
        <v>-606.89249099999995</v>
      </c>
      <c r="L138" s="1">
        <v>7.3663699999999999</v>
      </c>
      <c r="M138" s="1">
        <v>5</v>
      </c>
      <c r="N138" s="1" t="s">
        <v>32</v>
      </c>
    </row>
    <row r="139" spans="1:14" x14ac:dyDescent="0.55000000000000004">
      <c r="A139" s="50"/>
      <c r="B139" s="1">
        <v>37</v>
      </c>
      <c r="C139" s="1">
        <v>-13.43</v>
      </c>
      <c r="D139" s="1">
        <v>-1.0995269999999999</v>
      </c>
      <c r="E139" s="1">
        <v>3.4492129999999999</v>
      </c>
      <c r="F139" s="1">
        <v>20</v>
      </c>
      <c r="G139" s="1">
        <v>-3.3549999999999999E-3</v>
      </c>
      <c r="H139" s="1">
        <v>0</v>
      </c>
      <c r="I139" s="1">
        <v>23</v>
      </c>
      <c r="J139" s="1" t="s">
        <v>28</v>
      </c>
      <c r="K139" s="1">
        <v>-8.3196999999999993E-2</v>
      </c>
      <c r="L139" s="1">
        <v>0</v>
      </c>
      <c r="M139" s="1">
        <v>10</v>
      </c>
      <c r="N139" s="1" t="s">
        <v>28</v>
      </c>
    </row>
    <row r="140" spans="1:14" x14ac:dyDescent="0.55000000000000004">
      <c r="A140" s="50"/>
      <c r="B140" s="1">
        <v>38</v>
      </c>
      <c r="C140" s="1">
        <v>60.66</v>
      </c>
      <c r="D140" s="1">
        <v>62.533893999999997</v>
      </c>
      <c r="E140" s="1">
        <v>63.225177000000002</v>
      </c>
      <c r="F140" s="1">
        <v>8</v>
      </c>
      <c r="G140" s="1">
        <v>62.743608999999999</v>
      </c>
      <c r="H140" s="1">
        <v>-0.92114799999999997</v>
      </c>
      <c r="I140" s="1">
        <v>15</v>
      </c>
      <c r="J140" s="1" t="s">
        <v>27</v>
      </c>
      <c r="K140" s="1">
        <v>-1484375.1510409999</v>
      </c>
      <c r="L140" s="1">
        <v>44067391.780573003</v>
      </c>
      <c r="M140" s="1">
        <v>5</v>
      </c>
      <c r="N140" s="1" t="s">
        <v>32</v>
      </c>
    </row>
    <row r="141" spans="1:14" x14ac:dyDescent="0.55000000000000004">
      <c r="A141" s="50"/>
      <c r="B141" s="1">
        <v>39</v>
      </c>
      <c r="C141" s="1">
        <v>-22.84</v>
      </c>
      <c r="D141" s="1">
        <v>-3.0913040000000001</v>
      </c>
      <c r="E141" s="1">
        <v>4.1940359999999997</v>
      </c>
      <c r="F141" s="1">
        <v>23</v>
      </c>
      <c r="G141" s="1">
        <v>1.4599999999999999E-3</v>
      </c>
      <c r="H141" s="1">
        <v>0</v>
      </c>
      <c r="I141" s="1">
        <v>25</v>
      </c>
      <c r="J141" s="1" t="s">
        <v>28</v>
      </c>
      <c r="K141" s="1">
        <v>-7.1301000000000003E-2</v>
      </c>
      <c r="L141" s="1">
        <v>0</v>
      </c>
      <c r="M141" s="1">
        <v>10</v>
      </c>
      <c r="N141" s="1" t="s">
        <v>28</v>
      </c>
    </row>
    <row r="142" spans="1:14" x14ac:dyDescent="0.55000000000000004">
      <c r="A142" s="50"/>
      <c r="B142" s="1">
        <v>40</v>
      </c>
      <c r="C142" s="1">
        <v>-28.25</v>
      </c>
      <c r="D142" s="1">
        <v>-5.1440060000000001</v>
      </c>
      <c r="E142" s="1">
        <v>3.3798490000000001</v>
      </c>
      <c r="F142" s="1">
        <v>24</v>
      </c>
      <c r="G142" s="1">
        <v>-5.5120000000000004E-3</v>
      </c>
      <c r="H142" s="1">
        <v>0</v>
      </c>
      <c r="I142" s="1">
        <v>25</v>
      </c>
      <c r="J142" s="1" t="s">
        <v>28</v>
      </c>
      <c r="K142" s="1">
        <v>9.9209999999999993E-3</v>
      </c>
      <c r="L142" s="1">
        <v>0</v>
      </c>
      <c r="M142" s="1">
        <v>12</v>
      </c>
      <c r="N142" s="1" t="s">
        <v>28</v>
      </c>
    </row>
    <row r="143" spans="1:14" x14ac:dyDescent="0.55000000000000004">
      <c r="A143" s="50"/>
      <c r="B143" s="1">
        <v>41</v>
      </c>
      <c r="C143" s="1">
        <v>-21.72</v>
      </c>
      <c r="D143" s="1">
        <v>-1.9713039999999999</v>
      </c>
      <c r="E143" s="1">
        <v>5.3140359999999998</v>
      </c>
      <c r="F143" s="1">
        <v>23</v>
      </c>
      <c r="G143" s="1">
        <v>-7.8790000000000006E-3</v>
      </c>
      <c r="H143" s="1">
        <v>0</v>
      </c>
      <c r="I143" s="1">
        <v>25</v>
      </c>
      <c r="J143" s="1" t="s">
        <v>28</v>
      </c>
      <c r="K143" s="1">
        <v>-0.61484499999999997</v>
      </c>
      <c r="L143" s="1">
        <v>7.9999999999999996E-6</v>
      </c>
      <c r="M143" s="1">
        <v>13</v>
      </c>
      <c r="N143" s="1" t="s">
        <v>28</v>
      </c>
    </row>
    <row r="144" spans="1:14" x14ac:dyDescent="0.55000000000000004">
      <c r="A144" s="50"/>
      <c r="B144" s="1">
        <v>42</v>
      </c>
      <c r="C144" s="1">
        <v>-5.3</v>
      </c>
      <c r="D144" s="1">
        <v>-0.49313099999999999</v>
      </c>
      <c r="E144" s="1">
        <v>1.280135</v>
      </c>
      <c r="F144" s="1">
        <v>14</v>
      </c>
      <c r="G144" s="1">
        <v>-6.0530000000000002E-3</v>
      </c>
      <c r="H144" s="1">
        <v>0</v>
      </c>
      <c r="I144" s="1">
        <v>19</v>
      </c>
      <c r="J144" s="1" t="s">
        <v>28</v>
      </c>
      <c r="K144" s="1">
        <v>-0.65049800000000002</v>
      </c>
      <c r="L144" s="1">
        <v>7.9999999999999996E-6</v>
      </c>
      <c r="M144" s="1">
        <v>13</v>
      </c>
      <c r="N144" s="1" t="s">
        <v>32</v>
      </c>
    </row>
    <row r="145" spans="1:14" x14ac:dyDescent="0.55000000000000004">
      <c r="A145" s="50"/>
      <c r="B145" s="1">
        <v>43</v>
      </c>
      <c r="C145" s="1">
        <v>19.03</v>
      </c>
      <c r="D145" s="1">
        <v>-4.0759939999999997</v>
      </c>
      <c r="E145" s="1">
        <v>2.1507869999999998</v>
      </c>
      <c r="F145" s="1">
        <v>23</v>
      </c>
      <c r="G145" s="1">
        <v>-6.8209999999999998E-3</v>
      </c>
      <c r="H145" s="1">
        <v>0</v>
      </c>
      <c r="I145" s="1">
        <v>25</v>
      </c>
      <c r="J145" s="1" t="s">
        <v>28</v>
      </c>
      <c r="K145" s="1">
        <v>5.7990000000000003E-3</v>
      </c>
      <c r="L145" s="1">
        <v>0</v>
      </c>
      <c r="M145" s="1">
        <v>12</v>
      </c>
      <c r="N145" s="1" t="s">
        <v>28</v>
      </c>
    </row>
    <row r="146" spans="1:14" x14ac:dyDescent="0.55000000000000004">
      <c r="A146" s="50"/>
      <c r="B146" s="1">
        <v>44</v>
      </c>
      <c r="C146" s="1">
        <v>-38.69</v>
      </c>
      <c r="D146" s="1">
        <v>-7.0601510000000003</v>
      </c>
      <c r="E146" s="1">
        <v>4.6081750000000001</v>
      </c>
      <c r="F146" s="1">
        <v>26</v>
      </c>
      <c r="G146" s="1">
        <v>-9.4719999999999995E-3</v>
      </c>
      <c r="H146" s="1">
        <v>0</v>
      </c>
      <c r="I146" s="1">
        <v>27</v>
      </c>
      <c r="J146" s="1" t="s">
        <v>28</v>
      </c>
      <c r="K146" s="1">
        <v>-24.310590000000001</v>
      </c>
      <c r="L146" s="1">
        <v>1.1820000000000001E-2</v>
      </c>
      <c r="M146" s="1">
        <v>13</v>
      </c>
      <c r="N146" s="1" t="s">
        <v>32</v>
      </c>
    </row>
    <row r="147" spans="1:14" x14ac:dyDescent="0.55000000000000004">
      <c r="A147" s="50"/>
      <c r="B147" s="1">
        <v>45</v>
      </c>
      <c r="C147" s="1">
        <v>-89.45</v>
      </c>
      <c r="D147" s="1">
        <v>-8.3138260000000006</v>
      </c>
      <c r="E147" s="1">
        <v>21.617498000000001</v>
      </c>
      <c r="F147" s="1">
        <v>32</v>
      </c>
      <c r="G147" s="1">
        <v>-2.3540000000000002E-3</v>
      </c>
      <c r="H147" s="1">
        <v>0</v>
      </c>
      <c r="I147" s="1">
        <v>31</v>
      </c>
      <c r="J147" s="1" t="s">
        <v>28</v>
      </c>
      <c r="K147" s="1">
        <v>-1.188129</v>
      </c>
      <c r="L147" s="1">
        <v>2.8E-5</v>
      </c>
      <c r="M147" s="1">
        <v>18</v>
      </c>
      <c r="N147" s="1" t="s">
        <v>32</v>
      </c>
    </row>
    <row r="148" spans="1:14" x14ac:dyDescent="0.55000000000000004">
      <c r="A148" s="50"/>
      <c r="B148" s="1">
        <v>46</v>
      </c>
      <c r="C148" s="1">
        <v>-44.16</v>
      </c>
      <c r="D148" s="1">
        <v>-7.1530449999999997</v>
      </c>
      <c r="E148" s="1">
        <v>6.4989080000000001</v>
      </c>
      <c r="F148" s="1">
        <v>27</v>
      </c>
      <c r="G148" s="1">
        <v>-6.4999999999999997E-3</v>
      </c>
      <c r="H148" s="1">
        <v>0</v>
      </c>
      <c r="I148" s="1">
        <v>27</v>
      </c>
      <c r="J148" s="1" t="s">
        <v>28</v>
      </c>
      <c r="K148" s="1">
        <v>3.3830000000000002E-3</v>
      </c>
      <c r="L148" s="1">
        <v>0</v>
      </c>
      <c r="M148" s="1">
        <v>7</v>
      </c>
      <c r="N148" s="1" t="s">
        <v>28</v>
      </c>
    </row>
    <row r="149" spans="1:14" x14ac:dyDescent="0.55000000000000004">
      <c r="A149" s="50"/>
      <c r="B149" s="1">
        <v>47</v>
      </c>
      <c r="C149" s="1">
        <v>19.5</v>
      </c>
      <c r="D149" s="1">
        <v>-3.6059939999999999</v>
      </c>
      <c r="E149" s="1">
        <v>2.620787</v>
      </c>
      <c r="F149" s="1">
        <v>23</v>
      </c>
      <c r="G149" s="1">
        <v>-3.6719999999999999E-3</v>
      </c>
      <c r="H149" s="1">
        <v>0</v>
      </c>
      <c r="I149" s="1">
        <v>25</v>
      </c>
      <c r="J149" s="1" t="s">
        <v>28</v>
      </c>
      <c r="K149" s="1">
        <v>9.7870000000000006E-3</v>
      </c>
      <c r="L149" s="1">
        <v>0</v>
      </c>
      <c r="M149" s="1">
        <v>7</v>
      </c>
      <c r="N149" s="1" t="s">
        <v>28</v>
      </c>
    </row>
    <row r="150" spans="1:14" x14ac:dyDescent="0.55000000000000004">
      <c r="A150" s="50"/>
      <c r="B150" s="1">
        <v>48</v>
      </c>
      <c r="C150" s="1">
        <v>-84.73</v>
      </c>
      <c r="D150" s="1">
        <v>-15.382902</v>
      </c>
      <c r="E150" s="1">
        <v>10.199403999999999</v>
      </c>
      <c r="F150" s="1">
        <v>31</v>
      </c>
      <c r="G150" s="1">
        <v>-7.7780000000000002E-3</v>
      </c>
      <c r="H150" s="1">
        <v>0</v>
      </c>
      <c r="I150" s="1">
        <v>29</v>
      </c>
      <c r="J150" s="1" t="s">
        <v>28</v>
      </c>
      <c r="K150" s="1">
        <v>-12.649539000000001</v>
      </c>
      <c r="L150" s="1">
        <v>3.2000000000000002E-3</v>
      </c>
      <c r="M150" s="1">
        <v>13</v>
      </c>
      <c r="N150" s="1" t="s">
        <v>32</v>
      </c>
    </row>
    <row r="151" spans="1:14" x14ac:dyDescent="0.55000000000000004">
      <c r="A151" s="50"/>
      <c r="B151" s="1">
        <v>49</v>
      </c>
      <c r="C151" s="1">
        <v>41.8</v>
      </c>
      <c r="D151" s="1">
        <v>-8.8589079999999996</v>
      </c>
      <c r="E151" s="1">
        <v>4.7930450000000002</v>
      </c>
      <c r="F151" s="1">
        <v>28</v>
      </c>
      <c r="G151" s="1">
        <v>-1.1212E-2</v>
      </c>
      <c r="H151" s="1">
        <v>0</v>
      </c>
      <c r="I151" s="1">
        <v>27</v>
      </c>
      <c r="J151" s="1" t="s">
        <v>28</v>
      </c>
      <c r="K151" s="1">
        <v>-13.321928</v>
      </c>
      <c r="L151" s="1">
        <v>3.5490000000000001E-3</v>
      </c>
      <c r="M151" s="1">
        <v>13</v>
      </c>
      <c r="N151" s="1" t="s">
        <v>32</v>
      </c>
    </row>
    <row r="152" spans="1:14" x14ac:dyDescent="0.55000000000000004">
      <c r="A152" s="50"/>
      <c r="B152" s="1">
        <v>50</v>
      </c>
      <c r="C152" s="1">
        <v>-37.72</v>
      </c>
      <c r="D152" s="1">
        <v>-6.0901509999999996</v>
      </c>
      <c r="E152" s="1">
        <v>5.5781749999999999</v>
      </c>
      <c r="F152" s="1">
        <v>26</v>
      </c>
      <c r="G152" s="1">
        <v>-3.9170000000000003E-3</v>
      </c>
      <c r="H152" s="1">
        <v>0</v>
      </c>
      <c r="I152" s="1">
        <v>27</v>
      </c>
      <c r="J152" s="1" t="s">
        <v>28</v>
      </c>
      <c r="K152" s="1">
        <v>2.4020000000000001E-3</v>
      </c>
      <c r="L152" s="1">
        <v>0</v>
      </c>
      <c r="M152" s="1">
        <v>7</v>
      </c>
      <c r="N152" s="1" t="s">
        <v>28</v>
      </c>
    </row>
    <row r="153" spans="1:14" x14ac:dyDescent="0.55000000000000004">
      <c r="A153" s="50"/>
      <c r="B153" s="1">
        <v>51</v>
      </c>
      <c r="C153" s="1">
        <v>-49.59</v>
      </c>
      <c r="D153" s="1">
        <v>-6.2918250000000002</v>
      </c>
      <c r="E153" s="1">
        <v>9.6809729999999998</v>
      </c>
      <c r="F153" s="1">
        <v>28</v>
      </c>
      <c r="G153" s="1">
        <v>-5.3179999999999998E-3</v>
      </c>
      <c r="H153" s="1">
        <v>0</v>
      </c>
      <c r="I153" s="1">
        <v>29</v>
      </c>
      <c r="J153" s="1" t="s">
        <v>28</v>
      </c>
      <c r="K153" s="1">
        <v>-1.5170360000000001</v>
      </c>
      <c r="L153" s="1">
        <v>4.6E-5</v>
      </c>
      <c r="M153" s="1">
        <v>13</v>
      </c>
      <c r="N153" s="1" t="s">
        <v>32</v>
      </c>
    </row>
    <row r="154" spans="1:14" x14ac:dyDescent="0.55000000000000004">
      <c r="A154" s="50"/>
      <c r="B154" s="1">
        <v>52</v>
      </c>
      <c r="C154" s="1">
        <v>-60.61</v>
      </c>
      <c r="D154" s="1">
        <v>-9.9510919999999992</v>
      </c>
      <c r="E154" s="1">
        <v>8.7370979999999996</v>
      </c>
      <c r="F154" s="1">
        <v>29</v>
      </c>
      <c r="G154" s="1">
        <v>-6.7190000000000001E-3</v>
      </c>
      <c r="H154" s="1">
        <v>0</v>
      </c>
      <c r="I154" s="1">
        <v>29</v>
      </c>
      <c r="J154" s="1" t="s">
        <v>28</v>
      </c>
      <c r="K154" s="1">
        <v>8.3929999999999994E-3</v>
      </c>
      <c r="L154" s="1">
        <v>0</v>
      </c>
      <c r="M154" s="1">
        <v>7</v>
      </c>
      <c r="N154" s="1" t="s">
        <v>28</v>
      </c>
    </row>
    <row r="155" spans="1:14" x14ac:dyDescent="0.55000000000000004">
      <c r="A155" s="50"/>
      <c r="B155" s="1">
        <v>53</v>
      </c>
      <c r="C155" s="1">
        <v>48.48</v>
      </c>
      <c r="D155" s="1">
        <v>60.810473000000002</v>
      </c>
      <c r="E155" s="1">
        <v>65.359212999999997</v>
      </c>
      <c r="F155" s="1">
        <v>20</v>
      </c>
      <c r="G155" s="1">
        <v>62.749279999999999</v>
      </c>
      <c r="H155" s="1">
        <v>-0.92114799999999997</v>
      </c>
      <c r="I155" s="1">
        <v>23</v>
      </c>
      <c r="J155" s="1" t="s">
        <v>27</v>
      </c>
      <c r="K155" s="1">
        <v>-5708.3637220000001</v>
      </c>
      <c r="L155" s="1">
        <v>651.70832800000005</v>
      </c>
      <c r="M155" s="1">
        <v>5</v>
      </c>
      <c r="N155" s="1" t="s">
        <v>32</v>
      </c>
    </row>
    <row r="156" spans="1:14" x14ac:dyDescent="0.55000000000000004">
      <c r="A156" s="50"/>
      <c r="B156" s="1">
        <v>54</v>
      </c>
      <c r="C156" s="1">
        <v>5.56</v>
      </c>
      <c r="D156" s="1">
        <v>-1.020135</v>
      </c>
      <c r="E156" s="1">
        <v>0.75313099999999999</v>
      </c>
      <c r="F156" s="1">
        <v>15</v>
      </c>
      <c r="G156" s="1">
        <v>-3.1700000000000001E-4</v>
      </c>
      <c r="H156" s="1">
        <v>0</v>
      </c>
      <c r="I156" s="1">
        <v>19</v>
      </c>
      <c r="J156" s="1" t="s">
        <v>28</v>
      </c>
      <c r="K156" s="1">
        <v>-9.1590000000000005E-3</v>
      </c>
      <c r="L156" s="1">
        <v>0</v>
      </c>
      <c r="M156" s="1">
        <v>7</v>
      </c>
      <c r="N156" s="1" t="s">
        <v>28</v>
      </c>
    </row>
    <row r="157" spans="1:14" x14ac:dyDescent="0.55000000000000004">
      <c r="A157" s="50"/>
      <c r="B157" s="1">
        <v>55</v>
      </c>
      <c r="C157" s="1">
        <v>1.43</v>
      </c>
      <c r="D157" s="1">
        <v>-0.17161699999999999</v>
      </c>
      <c r="E157" s="1">
        <v>0.25999899999999998</v>
      </c>
      <c r="F157" s="1">
        <v>6</v>
      </c>
      <c r="G157" s="1">
        <v>-6.8180000000000003E-3</v>
      </c>
      <c r="H157" s="1">
        <v>0</v>
      </c>
      <c r="I157" s="1">
        <v>13</v>
      </c>
      <c r="J157" s="1" t="s">
        <v>28</v>
      </c>
      <c r="K157" s="1">
        <v>-3.7996270000000001</v>
      </c>
      <c r="L157" s="1">
        <v>2.8899999999999998E-4</v>
      </c>
      <c r="M157" s="1">
        <v>8</v>
      </c>
      <c r="N157" s="1" t="s">
        <v>32</v>
      </c>
    </row>
    <row r="158" spans="1:14" x14ac:dyDescent="0.55000000000000004">
      <c r="A158" s="50"/>
      <c r="B158" s="1">
        <v>56</v>
      </c>
      <c r="C158" s="1">
        <v>92.66</v>
      </c>
      <c r="D158" s="1">
        <v>55.653044999999999</v>
      </c>
      <c r="E158" s="1">
        <v>65.625963999999996</v>
      </c>
      <c r="F158" s="1">
        <v>26</v>
      </c>
      <c r="G158" s="1">
        <v>62.740873999999998</v>
      </c>
      <c r="H158" s="1">
        <v>-0.92114799999999997</v>
      </c>
      <c r="I158" s="1">
        <v>27</v>
      </c>
      <c r="J158" s="1" t="s">
        <v>27</v>
      </c>
      <c r="K158" s="1">
        <v>-644.98539300000004</v>
      </c>
      <c r="L158" s="1">
        <v>8.3201230000000006</v>
      </c>
      <c r="M158" s="1">
        <v>5</v>
      </c>
      <c r="N158" s="1" t="s">
        <v>32</v>
      </c>
    </row>
    <row r="159" spans="1:14" x14ac:dyDescent="0.55000000000000004">
      <c r="A159" s="50"/>
      <c r="B159" s="1">
        <v>57</v>
      </c>
      <c r="C159" s="1">
        <v>54.93</v>
      </c>
      <c r="D159" s="1">
        <v>61.510134999999998</v>
      </c>
      <c r="E159" s="1">
        <v>63.937562</v>
      </c>
      <c r="F159" s="1">
        <v>16</v>
      </c>
      <c r="G159" s="1">
        <v>62.746383999999999</v>
      </c>
      <c r="H159" s="1">
        <v>-0.92114799999999997</v>
      </c>
      <c r="I159" s="1">
        <v>21</v>
      </c>
      <c r="J159" s="1" t="s">
        <v>27</v>
      </c>
      <c r="K159" s="1">
        <v>-35352.206406999998</v>
      </c>
      <c r="L159" s="1">
        <v>24995.569955999999</v>
      </c>
      <c r="M159" s="1">
        <v>5</v>
      </c>
      <c r="N159" s="1" t="s">
        <v>32</v>
      </c>
    </row>
    <row r="160" spans="1:14" x14ac:dyDescent="0.55000000000000004">
      <c r="A160" s="50"/>
      <c r="B160" s="1">
        <v>58</v>
      </c>
      <c r="C160" s="1">
        <v>-27.28</v>
      </c>
      <c r="D160" s="1">
        <v>-4.1740060000000003</v>
      </c>
      <c r="E160" s="1">
        <v>4.3498489999999999</v>
      </c>
      <c r="F160" s="1">
        <v>24</v>
      </c>
      <c r="G160" s="1">
        <v>-2.758E-3</v>
      </c>
      <c r="H160" s="1">
        <v>0</v>
      </c>
      <c r="I160" s="1">
        <v>25</v>
      </c>
      <c r="J160" s="1" t="s">
        <v>28</v>
      </c>
      <c r="K160" s="1">
        <v>4.2200000000000001E-4</v>
      </c>
      <c r="L160" s="1">
        <v>0</v>
      </c>
      <c r="M160" s="1">
        <v>7</v>
      </c>
      <c r="N160" s="1" t="s">
        <v>28</v>
      </c>
    </row>
    <row r="161" spans="1:14" x14ac:dyDescent="0.55000000000000004">
      <c r="A161" s="50"/>
      <c r="B161" s="1">
        <v>59</v>
      </c>
      <c r="C161" s="1">
        <v>-44.85</v>
      </c>
      <c r="D161" s="1">
        <v>-7.843045</v>
      </c>
      <c r="E161" s="1">
        <v>5.8089079999999997</v>
      </c>
      <c r="F161" s="1">
        <v>27</v>
      </c>
      <c r="G161" s="1">
        <v>-4.071E-3</v>
      </c>
      <c r="H161" s="1">
        <v>0</v>
      </c>
      <c r="I161" s="1">
        <v>27</v>
      </c>
      <c r="J161" s="1" t="s">
        <v>28</v>
      </c>
      <c r="K161" s="1">
        <v>-36.473205</v>
      </c>
      <c r="L161" s="1">
        <v>2.6606000000000001E-2</v>
      </c>
      <c r="M161" s="1">
        <v>13</v>
      </c>
      <c r="N161" s="1" t="s">
        <v>32</v>
      </c>
    </row>
    <row r="162" spans="1:14" x14ac:dyDescent="0.55000000000000004">
      <c r="A162" s="50"/>
      <c r="B162" s="1">
        <v>60</v>
      </c>
      <c r="C162" s="1">
        <v>-84.51</v>
      </c>
      <c r="D162" s="1">
        <v>-15.162902000000001</v>
      </c>
      <c r="E162" s="1">
        <v>10.419404</v>
      </c>
      <c r="F162" s="1">
        <v>31</v>
      </c>
      <c r="G162" s="1">
        <v>4.3169999999999997E-3</v>
      </c>
      <c r="H162" s="1">
        <v>0</v>
      </c>
      <c r="I162" s="1">
        <v>29</v>
      </c>
      <c r="J162" s="1" t="s">
        <v>28</v>
      </c>
      <c r="K162" s="1">
        <v>-14.443282999999999</v>
      </c>
      <c r="L162" s="1">
        <v>4.1720000000000004E-3</v>
      </c>
      <c r="M162" s="1">
        <v>13</v>
      </c>
      <c r="N162" s="1" t="s">
        <v>32</v>
      </c>
    </row>
    <row r="163" spans="1:14" x14ac:dyDescent="0.55000000000000004">
      <c r="A163" s="50"/>
      <c r="B163" s="1">
        <v>61</v>
      </c>
      <c r="C163" s="1">
        <v>-18.8</v>
      </c>
      <c r="D163" s="1">
        <v>-1.920787</v>
      </c>
      <c r="E163" s="1">
        <v>4.3059940000000001</v>
      </c>
      <c r="F163" s="1">
        <v>22</v>
      </c>
      <c r="G163" s="1">
        <v>-2.9129999999999998E-3</v>
      </c>
      <c r="H163" s="1">
        <v>0</v>
      </c>
      <c r="I163" s="1">
        <v>25</v>
      </c>
      <c r="J163" s="1" t="s">
        <v>28</v>
      </c>
      <c r="K163" s="1">
        <v>-4.6845999999999999E-2</v>
      </c>
      <c r="L163" s="1">
        <v>0</v>
      </c>
      <c r="M163" s="1">
        <v>10</v>
      </c>
      <c r="N163" s="1" t="s">
        <v>28</v>
      </c>
    </row>
    <row r="164" spans="1:14" x14ac:dyDescent="0.55000000000000004">
      <c r="A164" s="50"/>
      <c r="B164" s="1">
        <v>62</v>
      </c>
      <c r="C164" s="1">
        <v>-16.25</v>
      </c>
      <c r="D164" s="1">
        <v>-1.8233349999999999</v>
      </c>
      <c r="E164" s="1">
        <v>3.4986959999999998</v>
      </c>
      <c r="F164" s="1">
        <v>21</v>
      </c>
      <c r="G164" s="1">
        <v>-8.6090000000000003E-3</v>
      </c>
      <c r="H164" s="1">
        <v>0</v>
      </c>
      <c r="I164" s="1">
        <v>23</v>
      </c>
      <c r="J164" s="1" t="s">
        <v>28</v>
      </c>
      <c r="K164" s="1">
        <v>-9.7749000000000003E-2</v>
      </c>
      <c r="L164" s="1">
        <v>0</v>
      </c>
      <c r="M164" s="1">
        <v>10</v>
      </c>
      <c r="N164" s="1" t="s">
        <v>28</v>
      </c>
    </row>
    <row r="165" spans="1:14" x14ac:dyDescent="0.55000000000000004">
      <c r="A165" s="50"/>
      <c r="B165" s="1">
        <v>63</v>
      </c>
      <c r="C165" s="1">
        <v>81.19</v>
      </c>
      <c r="D165" s="1">
        <v>58.084006000000002</v>
      </c>
      <c r="E165" s="1">
        <v>64.310787000000005</v>
      </c>
      <c r="F165" s="1">
        <v>23</v>
      </c>
      <c r="G165" s="1">
        <v>62.746206000000001</v>
      </c>
      <c r="H165" s="1">
        <v>-0.92114799999999997</v>
      </c>
      <c r="I165" s="1">
        <v>25</v>
      </c>
      <c r="J165" s="1" t="s">
        <v>27</v>
      </c>
      <c r="K165" s="1">
        <v>-2345.950887</v>
      </c>
      <c r="L165" s="1">
        <v>110.069711</v>
      </c>
      <c r="M165" s="1">
        <v>5</v>
      </c>
      <c r="N165" s="1" t="s">
        <v>32</v>
      </c>
    </row>
    <row r="166" spans="1:14" x14ac:dyDescent="0.55000000000000004">
      <c r="A166" s="50"/>
      <c r="B166" s="1">
        <v>64</v>
      </c>
      <c r="C166" s="1">
        <v>-53.62</v>
      </c>
      <c r="D166" s="1">
        <v>-10.321825</v>
      </c>
      <c r="E166" s="1">
        <v>5.6509729999999996</v>
      </c>
      <c r="F166" s="1">
        <v>28</v>
      </c>
      <c r="G166" s="1">
        <v>-5.0289999999999996E-3</v>
      </c>
      <c r="H166" s="1">
        <v>0</v>
      </c>
      <c r="I166" s="1">
        <v>29</v>
      </c>
      <c r="J166" s="1" t="s">
        <v>28</v>
      </c>
      <c r="K166" s="1">
        <v>-11.930094</v>
      </c>
      <c r="L166" s="1">
        <v>2.8470000000000001E-3</v>
      </c>
      <c r="M166" s="1">
        <v>13</v>
      </c>
      <c r="N166" s="1" t="s">
        <v>32</v>
      </c>
    </row>
    <row r="167" spans="1:14" x14ac:dyDescent="0.55000000000000004">
      <c r="A167" s="50"/>
      <c r="B167" s="1">
        <v>65</v>
      </c>
      <c r="C167" s="1">
        <v>-70.010000000000005</v>
      </c>
      <c r="D167" s="1">
        <v>-10.739027</v>
      </c>
      <c r="E167" s="1">
        <v>11.126174000000001</v>
      </c>
      <c r="F167" s="1">
        <v>30</v>
      </c>
      <c r="G167" s="1">
        <v>-9.5090000000000001E-3</v>
      </c>
      <c r="H167" s="1">
        <v>0</v>
      </c>
      <c r="I167" s="1">
        <v>29</v>
      </c>
      <c r="J167" s="1" t="s">
        <v>28</v>
      </c>
      <c r="K167" s="1">
        <v>8.7299999999999997E-4</v>
      </c>
      <c r="L167" s="1">
        <v>0</v>
      </c>
      <c r="M167" s="1">
        <v>7</v>
      </c>
      <c r="N167" s="1" t="s">
        <v>28</v>
      </c>
    </row>
    <row r="168" spans="1:14" x14ac:dyDescent="0.55000000000000004">
      <c r="A168" s="50"/>
      <c r="B168" s="1">
        <v>66</v>
      </c>
      <c r="C168" s="1">
        <v>-17.47</v>
      </c>
      <c r="D168" s="1">
        <v>-3.0433349999999999</v>
      </c>
      <c r="E168" s="1">
        <v>2.2786960000000001</v>
      </c>
      <c r="F168" s="1">
        <v>21</v>
      </c>
      <c r="G168" s="1">
        <v>1.565E-3</v>
      </c>
      <c r="H168" s="1">
        <v>0</v>
      </c>
      <c r="I168" s="1">
        <v>23</v>
      </c>
      <c r="J168" s="1" t="s">
        <v>28</v>
      </c>
      <c r="K168" s="1">
        <v>6.1910000000000003E-3</v>
      </c>
      <c r="L168" s="1">
        <v>0</v>
      </c>
      <c r="M168" s="1">
        <v>7</v>
      </c>
      <c r="N168" s="1" t="s">
        <v>28</v>
      </c>
    </row>
    <row r="169" spans="1:14" x14ac:dyDescent="0.55000000000000004">
      <c r="A169" s="50"/>
      <c r="B169" s="1">
        <v>67</v>
      </c>
      <c r="C169" s="1">
        <v>-44.26</v>
      </c>
      <c r="D169" s="1">
        <v>-7.2530450000000002</v>
      </c>
      <c r="E169" s="1">
        <v>6.3989079999999996</v>
      </c>
      <c r="F169" s="1">
        <v>27</v>
      </c>
      <c r="G169" s="1">
        <v>-1.2466E-2</v>
      </c>
      <c r="H169" s="1">
        <v>0</v>
      </c>
      <c r="I169" s="1">
        <v>27</v>
      </c>
      <c r="J169" s="1" t="s">
        <v>28</v>
      </c>
      <c r="K169" s="1">
        <v>5.5830000000000003E-3</v>
      </c>
      <c r="L169" s="1">
        <v>0</v>
      </c>
      <c r="M169" s="1">
        <v>7</v>
      </c>
      <c r="N169" s="1" t="s">
        <v>28</v>
      </c>
    </row>
    <row r="170" spans="1:14" x14ac:dyDescent="0.55000000000000004">
      <c r="A170" s="50"/>
      <c r="B170" s="1">
        <v>68</v>
      </c>
      <c r="C170" s="1">
        <v>-92.24</v>
      </c>
      <c r="D170" s="1">
        <v>-11.103826</v>
      </c>
      <c r="E170" s="1">
        <v>18.827497999999999</v>
      </c>
      <c r="F170" s="1">
        <v>32</v>
      </c>
      <c r="G170" s="1">
        <v>-3.86E-4</v>
      </c>
      <c r="H170" s="1">
        <v>0</v>
      </c>
      <c r="I170" s="1">
        <v>31</v>
      </c>
      <c r="J170" s="1" t="s">
        <v>28</v>
      </c>
      <c r="K170" s="1">
        <v>-2.2386659999999998</v>
      </c>
      <c r="L170" s="1">
        <v>1E-4</v>
      </c>
      <c r="M170" s="1">
        <v>13</v>
      </c>
      <c r="N170" s="1" t="s">
        <v>32</v>
      </c>
    </row>
    <row r="171" spans="1:14" x14ac:dyDescent="0.55000000000000004">
      <c r="A171" s="50"/>
      <c r="B171" s="1">
        <v>69</v>
      </c>
      <c r="C171" s="1">
        <v>-30.25</v>
      </c>
      <c r="D171" s="1">
        <v>-3.215964</v>
      </c>
      <c r="E171" s="1">
        <v>6.7569549999999996</v>
      </c>
      <c r="F171" s="1">
        <v>25</v>
      </c>
      <c r="G171" s="1">
        <v>-6.1450000000000003E-3</v>
      </c>
      <c r="H171" s="1">
        <v>0</v>
      </c>
      <c r="I171" s="1">
        <v>27</v>
      </c>
      <c r="J171" s="1" t="s">
        <v>28</v>
      </c>
      <c r="K171" s="1">
        <v>-0.99338099999999996</v>
      </c>
      <c r="L171" s="1">
        <v>2.0000000000000002E-5</v>
      </c>
      <c r="M171" s="1">
        <v>13</v>
      </c>
      <c r="N171" s="1" t="s">
        <v>28</v>
      </c>
    </row>
    <row r="172" spans="1:14" x14ac:dyDescent="0.55000000000000004">
      <c r="A172" s="50"/>
      <c r="B172" s="1">
        <v>70</v>
      </c>
      <c r="C172" s="1">
        <v>-43.78</v>
      </c>
      <c r="D172" s="1">
        <v>-6.7730449999999998</v>
      </c>
      <c r="E172" s="1">
        <v>6.878908</v>
      </c>
      <c r="F172" s="1">
        <v>27</v>
      </c>
      <c r="G172" s="1">
        <v>-2.6340000000000001E-3</v>
      </c>
      <c r="H172" s="1">
        <v>0</v>
      </c>
      <c r="I172" s="1">
        <v>27</v>
      </c>
      <c r="J172" s="1" t="s">
        <v>28</v>
      </c>
      <c r="K172" s="1">
        <v>1E-4</v>
      </c>
      <c r="L172" s="1">
        <v>0</v>
      </c>
      <c r="M172" s="1">
        <v>7</v>
      </c>
      <c r="N172" s="1" t="s">
        <v>28</v>
      </c>
    </row>
    <row r="173" spans="1:14" x14ac:dyDescent="0.55000000000000004">
      <c r="A173" s="50"/>
      <c r="B173" s="1">
        <v>71</v>
      </c>
      <c r="C173" s="1">
        <v>20.71</v>
      </c>
      <c r="D173" s="1">
        <v>-2.395994</v>
      </c>
      <c r="E173" s="1">
        <v>3.8307869999999999</v>
      </c>
      <c r="F173" s="1">
        <v>23</v>
      </c>
      <c r="G173" s="1">
        <v>1.348E-3</v>
      </c>
      <c r="H173" s="1">
        <v>0</v>
      </c>
      <c r="I173" s="1">
        <v>25</v>
      </c>
      <c r="J173" s="1" t="s">
        <v>28</v>
      </c>
      <c r="K173" s="1">
        <v>-8.3617999999999998E-2</v>
      </c>
      <c r="L173" s="1">
        <v>0</v>
      </c>
      <c r="M173" s="1">
        <v>10</v>
      </c>
      <c r="N173" s="1" t="s">
        <v>28</v>
      </c>
    </row>
    <row r="174" spans="1:14" x14ac:dyDescent="0.55000000000000004">
      <c r="A174" s="50"/>
      <c r="B174" s="1">
        <v>72</v>
      </c>
      <c r="C174" s="1">
        <v>-66.03</v>
      </c>
      <c r="D174" s="1">
        <v>-6.7590269999999997</v>
      </c>
      <c r="E174" s="1">
        <v>15.106173999999999</v>
      </c>
      <c r="F174" s="1">
        <v>30</v>
      </c>
      <c r="G174" s="1">
        <v>1.923E-3</v>
      </c>
      <c r="H174" s="1">
        <v>0</v>
      </c>
      <c r="I174" s="1">
        <v>29</v>
      </c>
      <c r="J174" s="1" t="s">
        <v>28</v>
      </c>
      <c r="K174" s="1">
        <v>-1.2494419999999999</v>
      </c>
      <c r="L174" s="1">
        <v>3.1000000000000001E-5</v>
      </c>
      <c r="M174" s="1">
        <v>13</v>
      </c>
      <c r="N174" s="1" t="s">
        <v>32</v>
      </c>
    </row>
    <row r="175" spans="1:14" x14ac:dyDescent="0.55000000000000004">
      <c r="A175" s="50"/>
      <c r="B175" s="1">
        <v>73</v>
      </c>
      <c r="C175" s="1">
        <v>-41.95</v>
      </c>
      <c r="D175" s="1">
        <v>-4.9430449999999997</v>
      </c>
      <c r="E175" s="1">
        <v>8.7089079999999992</v>
      </c>
      <c r="F175" s="1">
        <v>27</v>
      </c>
      <c r="G175" s="1">
        <v>-1.0560999999999999E-2</v>
      </c>
      <c r="H175" s="1">
        <v>0</v>
      </c>
      <c r="I175" s="1">
        <v>27</v>
      </c>
      <c r="J175" s="1" t="s">
        <v>28</v>
      </c>
      <c r="K175" s="1">
        <v>-1.568403</v>
      </c>
      <c r="L175" s="1">
        <v>4.8999999999999998E-5</v>
      </c>
      <c r="M175" s="1">
        <v>13</v>
      </c>
      <c r="N175" s="1" t="s">
        <v>32</v>
      </c>
    </row>
    <row r="176" spans="1:14" x14ac:dyDescent="0.55000000000000004">
      <c r="A176" s="50"/>
      <c r="B176" s="1">
        <v>74</v>
      </c>
      <c r="C176" s="1">
        <v>16.75</v>
      </c>
      <c r="D176" s="1">
        <v>-2.9986959999999998</v>
      </c>
      <c r="E176" s="1">
        <v>2.3233350000000002</v>
      </c>
      <c r="F176" s="1">
        <v>22</v>
      </c>
      <c r="G176" s="1">
        <v>-6.1440000000000002E-3</v>
      </c>
      <c r="H176" s="1">
        <v>0</v>
      </c>
      <c r="I176" s="1">
        <v>23</v>
      </c>
      <c r="J176" s="1" t="s">
        <v>28</v>
      </c>
      <c r="K176" s="1">
        <v>5.1409999999999997E-3</v>
      </c>
      <c r="L176" s="1">
        <v>0</v>
      </c>
      <c r="M176" s="1">
        <v>7</v>
      </c>
      <c r="N176" s="1" t="s">
        <v>28</v>
      </c>
    </row>
    <row r="177" spans="1:14" x14ac:dyDescent="0.55000000000000004">
      <c r="A177" s="50"/>
      <c r="B177" s="1">
        <v>75</v>
      </c>
      <c r="C177" s="1">
        <v>76.150000000000006</v>
      </c>
      <c r="D177" s="1">
        <v>59.270786999999999</v>
      </c>
      <c r="E177" s="1">
        <v>63.819527000000001</v>
      </c>
      <c r="F177" s="1">
        <v>21</v>
      </c>
      <c r="G177" s="1">
        <v>62.738269000000003</v>
      </c>
      <c r="H177" s="1">
        <v>-0.92114700000000005</v>
      </c>
      <c r="I177" s="1">
        <v>23</v>
      </c>
      <c r="J177" s="1" t="s">
        <v>27</v>
      </c>
      <c r="K177" s="1">
        <v>-5688.2960220000004</v>
      </c>
      <c r="L177" s="1">
        <v>647.13423299999999</v>
      </c>
      <c r="M177" s="1">
        <v>5</v>
      </c>
      <c r="N177" s="1" t="s">
        <v>32</v>
      </c>
    </row>
    <row r="178" spans="1:14" x14ac:dyDescent="0.55000000000000004">
      <c r="A178" s="50"/>
      <c r="B178" s="1">
        <v>76</v>
      </c>
      <c r="C178" s="1">
        <v>96.32</v>
      </c>
      <c r="D178" s="1">
        <v>59.313045000000002</v>
      </c>
      <c r="E178" s="1">
        <v>69.285964000000007</v>
      </c>
      <c r="F178" s="1">
        <v>26</v>
      </c>
      <c r="G178" s="1">
        <v>62.747675000000001</v>
      </c>
      <c r="H178" s="1">
        <v>-0.92114799999999997</v>
      </c>
      <c r="I178" s="1">
        <v>27</v>
      </c>
      <c r="J178" s="1" t="s">
        <v>27</v>
      </c>
      <c r="K178" s="1">
        <v>-670.12455699999998</v>
      </c>
      <c r="L178" s="1">
        <v>8.9813379999999992</v>
      </c>
      <c r="M178" s="1">
        <v>5</v>
      </c>
      <c r="N178" s="1" t="s">
        <v>32</v>
      </c>
    </row>
    <row r="179" spans="1:14" x14ac:dyDescent="0.55000000000000004">
      <c r="A179" s="50"/>
      <c r="B179" s="1">
        <v>77</v>
      </c>
      <c r="C179" s="1">
        <v>-3.64</v>
      </c>
      <c r="D179" s="1">
        <v>-0.63873999999999997</v>
      </c>
      <c r="E179" s="1">
        <v>0.46843200000000002</v>
      </c>
      <c r="F179" s="1">
        <v>11</v>
      </c>
      <c r="G179" s="1">
        <v>-8.267E-3</v>
      </c>
      <c r="H179" s="1">
        <v>0</v>
      </c>
      <c r="I179" s="1">
        <v>17</v>
      </c>
      <c r="J179" s="1" t="s">
        <v>28</v>
      </c>
      <c r="K179" s="1">
        <v>-1.8061000000000001E-2</v>
      </c>
      <c r="L179" s="1">
        <v>0</v>
      </c>
      <c r="M179" s="1">
        <v>9</v>
      </c>
      <c r="N179" s="1" t="s">
        <v>28</v>
      </c>
    </row>
    <row r="180" spans="1:14" x14ac:dyDescent="0.55000000000000004">
      <c r="A180" s="50"/>
      <c r="B180" s="1">
        <v>78</v>
      </c>
      <c r="C180" s="1">
        <v>51.54</v>
      </c>
      <c r="D180" s="1">
        <v>60.547561999999999</v>
      </c>
      <c r="E180" s="1">
        <v>63.870472999999997</v>
      </c>
      <c r="F180" s="1">
        <v>18</v>
      </c>
      <c r="G180" s="1">
        <v>62.742269999999998</v>
      </c>
      <c r="H180" s="1">
        <v>-0.92114799999999997</v>
      </c>
      <c r="I180" s="1">
        <v>21</v>
      </c>
      <c r="J180" s="1" t="s">
        <v>27</v>
      </c>
      <c r="K180" s="1">
        <v>-13988.50641</v>
      </c>
      <c r="L180" s="1">
        <v>3913.5662309999998</v>
      </c>
      <c r="M180" s="1">
        <v>5</v>
      </c>
      <c r="N180" s="1" t="s">
        <v>32</v>
      </c>
    </row>
    <row r="181" spans="1:14" x14ac:dyDescent="0.55000000000000004">
      <c r="A181" s="50"/>
      <c r="B181" s="1">
        <v>79</v>
      </c>
      <c r="C181" s="1">
        <v>-93.07</v>
      </c>
      <c r="D181" s="1">
        <v>-11.933826</v>
      </c>
      <c r="E181" s="1">
        <v>17.997498</v>
      </c>
      <c r="F181" s="1">
        <v>32</v>
      </c>
      <c r="G181" s="1">
        <v>-7.1139999999999997E-3</v>
      </c>
      <c r="H181" s="1">
        <v>0</v>
      </c>
      <c r="I181" s="1">
        <v>31</v>
      </c>
      <c r="J181" s="1" t="s">
        <v>28</v>
      </c>
      <c r="K181" s="1">
        <v>-3.2528790000000001</v>
      </c>
      <c r="L181" s="1">
        <v>2.12E-4</v>
      </c>
      <c r="M181" s="1">
        <v>13</v>
      </c>
      <c r="N181" s="1" t="s">
        <v>32</v>
      </c>
    </row>
    <row r="182" spans="1:14" x14ac:dyDescent="0.55000000000000004">
      <c r="A182" s="50"/>
      <c r="B182" s="1">
        <v>80</v>
      </c>
      <c r="C182" s="1">
        <v>-40.28</v>
      </c>
      <c r="D182" s="1">
        <v>-3.2730450000000002</v>
      </c>
      <c r="E182" s="1">
        <v>10.378907999999999</v>
      </c>
      <c r="F182" s="1">
        <v>27</v>
      </c>
      <c r="G182" s="1">
        <v>1.0300000000000001E-3</v>
      </c>
      <c r="H182" s="1">
        <v>0</v>
      </c>
      <c r="I182" s="1">
        <v>27</v>
      </c>
      <c r="J182" s="1" t="s">
        <v>28</v>
      </c>
      <c r="K182" s="1">
        <v>-1.0184800000000001</v>
      </c>
      <c r="L182" s="1">
        <v>2.0999999999999999E-5</v>
      </c>
      <c r="M182" s="1">
        <v>13</v>
      </c>
      <c r="N182" s="1" t="s">
        <v>32</v>
      </c>
    </row>
    <row r="183" spans="1:14" x14ac:dyDescent="0.55000000000000004">
      <c r="A183" s="50"/>
      <c r="B183" s="1">
        <v>81</v>
      </c>
      <c r="C183" s="1">
        <v>96.95</v>
      </c>
      <c r="D183" s="1">
        <v>59.943044999999998</v>
      </c>
      <c r="E183" s="1">
        <v>69.915964000000002</v>
      </c>
      <c r="F183" s="1">
        <v>26</v>
      </c>
      <c r="G183" s="1">
        <v>62.746952</v>
      </c>
      <c r="H183" s="1">
        <v>-0.92114799999999997</v>
      </c>
      <c r="I183" s="1">
        <v>27</v>
      </c>
      <c r="J183" s="1" t="s">
        <v>27</v>
      </c>
      <c r="K183" s="1">
        <v>-722.42773499999998</v>
      </c>
      <c r="L183" s="1">
        <v>10.438037</v>
      </c>
      <c r="M183" s="1">
        <v>5</v>
      </c>
      <c r="N183" s="1" t="s">
        <v>32</v>
      </c>
    </row>
    <row r="184" spans="1:14" x14ac:dyDescent="0.55000000000000004">
      <c r="A184" s="50"/>
      <c r="B184" s="1">
        <v>82</v>
      </c>
      <c r="C184" s="1">
        <v>-5.82</v>
      </c>
      <c r="D184" s="1">
        <v>-1.013131</v>
      </c>
      <c r="E184" s="1">
        <v>0.76013500000000001</v>
      </c>
      <c r="F184" s="1">
        <v>14</v>
      </c>
      <c r="G184" s="1">
        <v>-8.5339999999999999E-3</v>
      </c>
      <c r="H184" s="1">
        <v>0</v>
      </c>
      <c r="I184" s="1">
        <v>19</v>
      </c>
      <c r="J184" s="1" t="s">
        <v>28</v>
      </c>
      <c r="K184" s="1">
        <v>-8.1630000000000001E-3</v>
      </c>
      <c r="L184" s="1">
        <v>0</v>
      </c>
      <c r="M184" s="1">
        <v>7</v>
      </c>
      <c r="N184" s="1" t="s">
        <v>28</v>
      </c>
    </row>
    <row r="185" spans="1:14" x14ac:dyDescent="0.55000000000000004">
      <c r="A185" s="50"/>
      <c r="B185" s="1">
        <v>83</v>
      </c>
      <c r="C185" s="1">
        <v>-76.92</v>
      </c>
      <c r="D185" s="1">
        <v>-7.572902</v>
      </c>
      <c r="E185" s="1">
        <v>18.009404</v>
      </c>
      <c r="F185" s="1">
        <v>31</v>
      </c>
      <c r="G185" s="1">
        <v>8.0699999999999999E-4</v>
      </c>
      <c r="H185" s="1">
        <v>0</v>
      </c>
      <c r="I185" s="1">
        <v>29</v>
      </c>
      <c r="J185" s="1" t="s">
        <v>28</v>
      </c>
      <c r="K185" s="1">
        <v>-0.69786800000000004</v>
      </c>
      <c r="L185" s="1">
        <v>1.0000000000000001E-5</v>
      </c>
      <c r="M185" s="1">
        <v>13</v>
      </c>
      <c r="N185" s="1" t="s">
        <v>28</v>
      </c>
    </row>
    <row r="186" spans="1:14" x14ac:dyDescent="0.55000000000000004">
      <c r="A186" s="50"/>
      <c r="B186" s="1">
        <v>84</v>
      </c>
      <c r="C186" s="1">
        <v>-71.48</v>
      </c>
      <c r="D186" s="1">
        <v>-12.209027000000001</v>
      </c>
      <c r="E186" s="1">
        <v>9.656174</v>
      </c>
      <c r="F186" s="1">
        <v>30</v>
      </c>
      <c r="G186" s="1">
        <v>1.2999999999999999E-3</v>
      </c>
      <c r="H186" s="1">
        <v>0</v>
      </c>
      <c r="I186" s="1">
        <v>29</v>
      </c>
      <c r="J186" s="1" t="s">
        <v>28</v>
      </c>
      <c r="K186" s="1">
        <v>-35.513022999999997</v>
      </c>
      <c r="L186" s="1">
        <v>2.5222999999999999E-2</v>
      </c>
      <c r="M186" s="1">
        <v>13</v>
      </c>
      <c r="N186" s="1" t="s">
        <v>32</v>
      </c>
    </row>
    <row r="187" spans="1:14" x14ac:dyDescent="0.55000000000000004">
      <c r="A187" s="50"/>
      <c r="B187" s="1">
        <v>85</v>
      </c>
      <c r="C187" s="1">
        <v>-11.29</v>
      </c>
      <c r="D187" s="1">
        <v>-2.282438</v>
      </c>
      <c r="E187" s="1">
        <v>1.040473</v>
      </c>
      <c r="F187" s="1">
        <v>18</v>
      </c>
      <c r="G187" s="1">
        <v>-8.404E-3</v>
      </c>
      <c r="H187" s="1">
        <v>0</v>
      </c>
      <c r="I187" s="1">
        <v>21</v>
      </c>
      <c r="J187" s="1" t="s">
        <v>28</v>
      </c>
      <c r="K187" s="1">
        <v>-1.9636979999999999</v>
      </c>
      <c r="L187" s="1">
        <v>7.7000000000000001E-5</v>
      </c>
      <c r="M187" s="1">
        <v>15</v>
      </c>
      <c r="N187" s="1" t="s">
        <v>32</v>
      </c>
    </row>
    <row r="188" spans="1:14" x14ac:dyDescent="0.55000000000000004">
      <c r="A188" s="50"/>
      <c r="B188" s="1">
        <v>86</v>
      </c>
      <c r="C188" s="1">
        <v>-54.81</v>
      </c>
      <c r="D188" s="1">
        <v>-11.511825</v>
      </c>
      <c r="E188" s="1">
        <v>4.4609730000000001</v>
      </c>
      <c r="F188" s="1">
        <v>28</v>
      </c>
      <c r="G188" s="1">
        <v>-2.0149999999999999E-3</v>
      </c>
      <c r="H188" s="1">
        <v>0</v>
      </c>
      <c r="I188" s="1">
        <v>29</v>
      </c>
      <c r="J188" s="1" t="s">
        <v>28</v>
      </c>
      <c r="K188" s="1">
        <v>-8.1002869999999998</v>
      </c>
      <c r="L188" s="1">
        <v>1.312E-3</v>
      </c>
      <c r="M188" s="1">
        <v>13</v>
      </c>
      <c r="N188" s="1" t="s">
        <v>32</v>
      </c>
    </row>
    <row r="189" spans="1:14" x14ac:dyDescent="0.55000000000000004">
      <c r="A189" s="50"/>
      <c r="B189" s="1">
        <v>87</v>
      </c>
      <c r="C189" s="1">
        <v>43.97</v>
      </c>
      <c r="D189" s="1">
        <v>-6.6889079999999996</v>
      </c>
      <c r="E189" s="1">
        <v>6.9630450000000002</v>
      </c>
      <c r="F189" s="1">
        <v>28</v>
      </c>
      <c r="G189" s="1">
        <v>-1.2529999999999999E-2</v>
      </c>
      <c r="H189" s="1">
        <v>0</v>
      </c>
      <c r="I189" s="1">
        <v>27</v>
      </c>
      <c r="J189" s="1" t="s">
        <v>28</v>
      </c>
      <c r="K189" s="1">
        <v>6.8599999999999998E-4</v>
      </c>
      <c r="L189" s="1">
        <v>0</v>
      </c>
      <c r="M189" s="1">
        <v>7</v>
      </c>
      <c r="N189" s="1" t="s">
        <v>28</v>
      </c>
    </row>
    <row r="190" spans="1:14" x14ac:dyDescent="0.55000000000000004">
      <c r="A190" s="50"/>
      <c r="B190" s="1">
        <v>88</v>
      </c>
      <c r="C190" s="1">
        <v>8.93</v>
      </c>
      <c r="D190" s="1">
        <v>-1.608857</v>
      </c>
      <c r="E190" s="1">
        <v>1.231236</v>
      </c>
      <c r="F190" s="1">
        <v>18</v>
      </c>
      <c r="G190" s="1">
        <v>-4.2420000000000001E-3</v>
      </c>
      <c r="H190" s="1">
        <v>0</v>
      </c>
      <c r="I190" s="1">
        <v>21</v>
      </c>
      <c r="J190" s="1" t="s">
        <v>28</v>
      </c>
      <c r="K190" s="1">
        <v>-1.5070000000000001E-3</v>
      </c>
      <c r="L190" s="1">
        <v>0</v>
      </c>
      <c r="M190" s="1">
        <v>7</v>
      </c>
      <c r="N190" s="1" t="s">
        <v>28</v>
      </c>
    </row>
    <row r="191" spans="1:14" x14ac:dyDescent="0.55000000000000004">
      <c r="A191" s="50"/>
      <c r="B191" s="1">
        <v>89</v>
      </c>
      <c r="C191" s="1">
        <v>-63.61</v>
      </c>
      <c r="D191" s="1">
        <v>-12.951091999999999</v>
      </c>
      <c r="E191" s="1">
        <v>5.7370979999999996</v>
      </c>
      <c r="F191" s="1">
        <v>29</v>
      </c>
      <c r="G191" s="1">
        <v>1.9059999999999999E-3</v>
      </c>
      <c r="H191" s="1">
        <v>0</v>
      </c>
      <c r="I191" s="1">
        <v>29</v>
      </c>
      <c r="J191" s="1" t="s">
        <v>28</v>
      </c>
      <c r="K191" s="1">
        <v>-7.8066789999999999</v>
      </c>
      <c r="L191" s="1">
        <v>1.219E-3</v>
      </c>
      <c r="M191" s="1">
        <v>13</v>
      </c>
      <c r="N191" s="1" t="s">
        <v>32</v>
      </c>
    </row>
    <row r="192" spans="1:14" x14ac:dyDescent="0.55000000000000004">
      <c r="A192" s="50"/>
      <c r="B192" s="1">
        <v>90</v>
      </c>
      <c r="C192" s="1">
        <v>53.54</v>
      </c>
      <c r="D192" s="1">
        <v>61.238764000000003</v>
      </c>
      <c r="E192" s="1">
        <v>64.078856999999999</v>
      </c>
      <c r="F192" s="1">
        <v>17</v>
      </c>
      <c r="G192" s="1">
        <v>62.745444999999997</v>
      </c>
      <c r="H192" s="1">
        <v>-0.92114799999999997</v>
      </c>
      <c r="I192" s="1">
        <v>21</v>
      </c>
      <c r="J192" s="1" t="s">
        <v>27</v>
      </c>
      <c r="K192" s="1">
        <v>-22244.840154000001</v>
      </c>
      <c r="L192" s="1">
        <v>9896.6582689999996</v>
      </c>
      <c r="M192" s="1">
        <v>5</v>
      </c>
      <c r="N192" s="1" t="s">
        <v>32</v>
      </c>
    </row>
    <row r="193" spans="1:14" x14ac:dyDescent="0.55000000000000004">
      <c r="A193" s="50"/>
      <c r="B193" s="1">
        <v>91</v>
      </c>
      <c r="C193" s="1">
        <v>-93.97</v>
      </c>
      <c r="D193" s="1">
        <v>-12.833826</v>
      </c>
      <c r="E193" s="1">
        <v>17.097498000000002</v>
      </c>
      <c r="F193" s="1">
        <v>32</v>
      </c>
      <c r="G193" s="1">
        <v>-5.0930000000000003E-3</v>
      </c>
      <c r="H193" s="1">
        <v>0</v>
      </c>
      <c r="I193" s="1">
        <v>31</v>
      </c>
      <c r="J193" s="1" t="s">
        <v>28</v>
      </c>
      <c r="K193" s="1">
        <v>-4.2090860000000001</v>
      </c>
      <c r="L193" s="1">
        <v>3.5399999999999999E-4</v>
      </c>
      <c r="M193" s="1">
        <v>13</v>
      </c>
      <c r="N193" s="1" t="s">
        <v>32</v>
      </c>
    </row>
    <row r="194" spans="1:14" x14ac:dyDescent="0.55000000000000004">
      <c r="A194" s="50"/>
      <c r="B194" s="1">
        <v>92</v>
      </c>
      <c r="C194" s="1">
        <v>-96.39</v>
      </c>
      <c r="D194" s="1">
        <v>-15.253826</v>
      </c>
      <c r="E194" s="1">
        <v>14.677498</v>
      </c>
      <c r="F194" s="1">
        <v>32</v>
      </c>
      <c r="G194" s="1">
        <v>-5.3880000000000004E-3</v>
      </c>
      <c r="H194" s="1">
        <v>0</v>
      </c>
      <c r="I194" s="1">
        <v>31</v>
      </c>
      <c r="J194" s="1" t="s">
        <v>28</v>
      </c>
      <c r="K194" s="1">
        <v>1.322E-3</v>
      </c>
      <c r="L194" s="1">
        <v>0</v>
      </c>
      <c r="M194" s="1">
        <v>7</v>
      </c>
      <c r="N194" s="1" t="s">
        <v>28</v>
      </c>
    </row>
    <row r="195" spans="1:14" x14ac:dyDescent="0.55000000000000004">
      <c r="A195" s="50"/>
      <c r="B195" s="1">
        <v>93</v>
      </c>
      <c r="C195" s="1">
        <v>87.5</v>
      </c>
      <c r="D195" s="1">
        <v>60.465964</v>
      </c>
      <c r="E195" s="1">
        <v>67.751304000000005</v>
      </c>
      <c r="F195" s="1">
        <v>24</v>
      </c>
      <c r="G195" s="1">
        <v>62.746785000000003</v>
      </c>
      <c r="H195" s="1">
        <v>-0.92114799999999997</v>
      </c>
      <c r="I195" s="1">
        <v>25</v>
      </c>
      <c r="J195" s="1" t="s">
        <v>27</v>
      </c>
      <c r="K195" s="1">
        <v>-1587.641169</v>
      </c>
      <c r="L195" s="1">
        <v>50.412089999999999</v>
      </c>
      <c r="M195" s="1">
        <v>5</v>
      </c>
      <c r="N195" s="1" t="s">
        <v>32</v>
      </c>
    </row>
    <row r="196" spans="1:14" x14ac:dyDescent="0.55000000000000004">
      <c r="A196" s="50"/>
      <c r="B196" s="1">
        <v>94</v>
      </c>
      <c r="C196" s="1">
        <v>23.09</v>
      </c>
      <c r="D196" s="1">
        <v>-3.9440360000000001</v>
      </c>
      <c r="E196" s="1">
        <v>3.3413040000000001</v>
      </c>
      <c r="F196" s="1">
        <v>24</v>
      </c>
      <c r="G196" s="1">
        <v>-9.8049999999999995E-3</v>
      </c>
      <c r="H196" s="1">
        <v>0</v>
      </c>
      <c r="I196" s="1">
        <v>25</v>
      </c>
      <c r="J196" s="1" t="s">
        <v>28</v>
      </c>
      <c r="K196" s="1">
        <v>4.3049999999999998E-3</v>
      </c>
      <c r="L196" s="1">
        <v>0</v>
      </c>
      <c r="M196" s="1">
        <v>7</v>
      </c>
      <c r="N196" s="1" t="s">
        <v>28</v>
      </c>
    </row>
    <row r="197" spans="1:14" x14ac:dyDescent="0.55000000000000004">
      <c r="A197" s="50"/>
      <c r="B197" s="1">
        <v>95</v>
      </c>
      <c r="C197" s="1">
        <v>-43.73</v>
      </c>
      <c r="D197" s="1">
        <v>-6.7230449999999999</v>
      </c>
      <c r="E197" s="1">
        <v>6.9289079999999998</v>
      </c>
      <c r="F197" s="1">
        <v>27</v>
      </c>
      <c r="G197" s="1">
        <v>-3.9249999999999997E-3</v>
      </c>
      <c r="H197" s="1">
        <v>0</v>
      </c>
      <c r="I197" s="1">
        <v>27</v>
      </c>
      <c r="J197" s="1" t="s">
        <v>28</v>
      </c>
      <c r="K197" s="1">
        <v>3.8299999999999999E-4</v>
      </c>
      <c r="L197" s="1">
        <v>0</v>
      </c>
      <c r="M197" s="1">
        <v>7</v>
      </c>
      <c r="N197" s="1" t="s">
        <v>28</v>
      </c>
    </row>
    <row r="198" spans="1:14" x14ac:dyDescent="0.55000000000000004">
      <c r="A198" s="50"/>
      <c r="B198" s="1">
        <v>96</v>
      </c>
      <c r="C198" s="1">
        <v>-83.15</v>
      </c>
      <c r="D198" s="1">
        <v>-13.802902</v>
      </c>
      <c r="E198" s="1">
        <v>11.779404</v>
      </c>
      <c r="F198" s="1">
        <v>31</v>
      </c>
      <c r="G198" s="1">
        <v>-1.921E-3</v>
      </c>
      <c r="H198" s="1">
        <v>0</v>
      </c>
      <c r="I198" s="1">
        <v>29</v>
      </c>
      <c r="J198" s="1" t="s">
        <v>28</v>
      </c>
      <c r="K198" s="1">
        <v>8.3140000000000002E-3</v>
      </c>
      <c r="L198" s="1">
        <v>0</v>
      </c>
      <c r="M198" s="1">
        <v>12</v>
      </c>
      <c r="N198" s="1" t="s">
        <v>28</v>
      </c>
    </row>
    <row r="199" spans="1:14" x14ac:dyDescent="0.55000000000000004">
      <c r="A199" s="50"/>
      <c r="B199" s="1">
        <v>97</v>
      </c>
      <c r="C199" s="1">
        <v>84.84</v>
      </c>
      <c r="D199" s="1">
        <v>57.805964000000003</v>
      </c>
      <c r="E199" s="1">
        <v>65.091303999999994</v>
      </c>
      <c r="F199" s="1">
        <v>24</v>
      </c>
      <c r="G199" s="1">
        <v>62.744050999999999</v>
      </c>
      <c r="H199" s="1">
        <v>-0.92114799999999997</v>
      </c>
      <c r="I199" s="1">
        <v>25</v>
      </c>
      <c r="J199" s="1" t="s">
        <v>27</v>
      </c>
      <c r="K199" s="1">
        <v>-1482.702579</v>
      </c>
      <c r="L199" s="1">
        <v>43.968139000000001</v>
      </c>
      <c r="M199" s="1">
        <v>5</v>
      </c>
      <c r="N199" s="1" t="s">
        <v>32</v>
      </c>
    </row>
    <row r="200" spans="1:14" x14ac:dyDescent="0.55000000000000004">
      <c r="A200" s="50"/>
      <c r="B200" s="1">
        <v>98</v>
      </c>
      <c r="C200" s="1">
        <v>-28.66</v>
      </c>
      <c r="D200" s="1">
        <v>-5.5540060000000002</v>
      </c>
      <c r="E200" s="1">
        <v>2.969849</v>
      </c>
      <c r="F200" s="1">
        <v>24</v>
      </c>
      <c r="G200" s="1">
        <v>-9.7799999999999992E-4</v>
      </c>
      <c r="H200" s="1">
        <v>0</v>
      </c>
      <c r="I200" s="1">
        <v>25</v>
      </c>
      <c r="J200" s="1" t="s">
        <v>28</v>
      </c>
      <c r="K200" s="1">
        <v>-18.188780999999999</v>
      </c>
      <c r="L200" s="1">
        <v>6.6169999999999996E-3</v>
      </c>
      <c r="M200" s="1">
        <v>13</v>
      </c>
      <c r="N200" s="1" t="s">
        <v>32</v>
      </c>
    </row>
    <row r="201" spans="1:14" x14ac:dyDescent="0.55000000000000004">
      <c r="A201" s="50"/>
      <c r="B201" s="1">
        <v>99</v>
      </c>
      <c r="C201" s="1">
        <v>-21.01</v>
      </c>
      <c r="D201" s="1">
        <v>-4.1307869999999998</v>
      </c>
      <c r="E201" s="1">
        <v>2.0959940000000001</v>
      </c>
      <c r="F201" s="1">
        <v>22</v>
      </c>
      <c r="G201" s="1">
        <v>1.474E-3</v>
      </c>
      <c r="H201" s="1">
        <v>0</v>
      </c>
      <c r="I201" s="1">
        <v>25</v>
      </c>
      <c r="J201" s="1" t="s">
        <v>28</v>
      </c>
      <c r="K201" s="1">
        <v>5.666E-3</v>
      </c>
      <c r="L201" s="1">
        <v>0</v>
      </c>
      <c r="M201" s="1">
        <v>12</v>
      </c>
      <c r="N201" s="1" t="s">
        <v>28</v>
      </c>
    </row>
    <row r="202" spans="1:14" ht="14.7" thickBot="1" x14ac:dyDescent="0.6">
      <c r="A202" s="53"/>
      <c r="B202" s="15">
        <v>100</v>
      </c>
      <c r="C202" s="1">
        <v>70.61</v>
      </c>
      <c r="D202" s="1">
        <v>61.602437999999999</v>
      </c>
      <c r="E202" s="1">
        <v>64.029865000000001</v>
      </c>
      <c r="F202" s="1">
        <v>17</v>
      </c>
      <c r="G202" s="1">
        <v>62.742105000000002</v>
      </c>
      <c r="H202" s="1">
        <v>-0.92114799999999997</v>
      </c>
      <c r="I202" s="1">
        <v>21</v>
      </c>
      <c r="J202" s="1" t="s">
        <v>27</v>
      </c>
      <c r="K202" s="1">
        <v>-35435.479302</v>
      </c>
      <c r="L202" s="1">
        <v>25113.463866999999</v>
      </c>
      <c r="M202" s="1">
        <v>5</v>
      </c>
      <c r="N202" s="1" t="s">
        <v>32</v>
      </c>
    </row>
    <row r="203" spans="1:14" x14ac:dyDescent="0.55000000000000004">
      <c r="A203" s="49">
        <v>1.179001</v>
      </c>
      <c r="B203" s="10">
        <v>1</v>
      </c>
      <c r="C203" s="1">
        <v>-32.44</v>
      </c>
      <c r="D203" s="1">
        <v>-5.5070779999999999</v>
      </c>
      <c r="E203" s="1">
        <v>4.9979290000000001</v>
      </c>
      <c r="F203" s="1">
        <v>25</v>
      </c>
      <c r="G203" s="1">
        <v>-7.901E-3</v>
      </c>
      <c r="H203" s="1">
        <v>0</v>
      </c>
      <c r="I203" s="1">
        <v>27</v>
      </c>
      <c r="J203" s="1" t="s">
        <v>28</v>
      </c>
      <c r="K203" s="1">
        <v>2.5690000000000001E-3</v>
      </c>
      <c r="L203" s="1">
        <v>0</v>
      </c>
      <c r="M203" s="1">
        <v>7</v>
      </c>
      <c r="N203" s="1" t="s">
        <v>28</v>
      </c>
    </row>
    <row r="204" spans="1:14" x14ac:dyDescent="0.55000000000000004">
      <c r="A204" s="50"/>
      <c r="B204" s="1">
        <v>2</v>
      </c>
      <c r="C204" s="1">
        <v>-12.33</v>
      </c>
      <c r="D204" s="1">
        <v>-2.3023669999999998</v>
      </c>
      <c r="E204" s="1">
        <v>1.6088450000000001</v>
      </c>
      <c r="F204" s="1">
        <v>18</v>
      </c>
      <c r="G204" s="1">
        <v>-5.2300000000000003E-4</v>
      </c>
      <c r="H204" s="1">
        <v>0</v>
      </c>
      <c r="I204" s="1">
        <v>23</v>
      </c>
      <c r="J204" s="1" t="s">
        <v>28</v>
      </c>
      <c r="K204" s="1">
        <v>2.3649999999999999E-3</v>
      </c>
      <c r="L204" s="1">
        <v>0</v>
      </c>
      <c r="M204" s="1">
        <v>7</v>
      </c>
      <c r="N204" s="1" t="s">
        <v>28</v>
      </c>
    </row>
    <row r="205" spans="1:14" x14ac:dyDescent="0.55000000000000004">
      <c r="A205" s="50"/>
      <c r="B205" s="1">
        <v>3</v>
      </c>
      <c r="C205" s="1">
        <v>30.34</v>
      </c>
      <c r="D205" s="1">
        <v>-7.0979289999999997</v>
      </c>
      <c r="E205" s="1">
        <v>3.4070779999999998</v>
      </c>
      <c r="F205" s="1">
        <v>25</v>
      </c>
      <c r="G205" s="1">
        <v>-3.0699999999999998E-4</v>
      </c>
      <c r="H205" s="1">
        <v>0</v>
      </c>
      <c r="I205" s="1">
        <v>27</v>
      </c>
      <c r="J205" s="1" t="s">
        <v>28</v>
      </c>
      <c r="K205" s="1">
        <v>-13.398389</v>
      </c>
      <c r="L205" s="1">
        <v>3.5899999999999999E-3</v>
      </c>
      <c r="M205" s="1">
        <v>13</v>
      </c>
      <c r="N205" s="1" t="s">
        <v>32</v>
      </c>
    </row>
    <row r="206" spans="1:14" x14ac:dyDescent="0.55000000000000004">
      <c r="A206" s="50"/>
      <c r="B206" s="1">
        <v>4</v>
      </c>
      <c r="C206" s="1">
        <v>40.54</v>
      </c>
      <c r="D206" s="1">
        <v>-3.5993560000000002</v>
      </c>
      <c r="E206" s="1">
        <v>8.7860580000000006</v>
      </c>
      <c r="F206" s="1">
        <v>26</v>
      </c>
      <c r="G206" s="1">
        <v>-8.3799999999999999E-4</v>
      </c>
      <c r="H206" s="1">
        <v>0</v>
      </c>
      <c r="I206" s="1">
        <v>27</v>
      </c>
      <c r="J206" s="1" t="s">
        <v>28</v>
      </c>
      <c r="K206" s="1">
        <v>-1.4556629999999999</v>
      </c>
      <c r="L206" s="1">
        <v>4.1999999999999998E-5</v>
      </c>
      <c r="M206" s="1">
        <v>13</v>
      </c>
      <c r="N206" s="1" t="s">
        <v>32</v>
      </c>
    </row>
    <row r="207" spans="1:14" x14ac:dyDescent="0.55000000000000004">
      <c r="A207" s="50"/>
      <c r="B207" s="1">
        <v>5</v>
      </c>
      <c r="C207" s="1">
        <v>55.95</v>
      </c>
      <c r="D207" s="1">
        <v>62.068654000000002</v>
      </c>
      <c r="E207" s="1">
        <v>64.455195000000003</v>
      </c>
      <c r="F207" s="1">
        <v>15</v>
      </c>
      <c r="G207" s="1">
        <v>62.739671000000001</v>
      </c>
      <c r="H207" s="1">
        <v>-0.92114700000000005</v>
      </c>
      <c r="I207" s="1">
        <v>21</v>
      </c>
      <c r="J207" s="1" t="s">
        <v>27</v>
      </c>
      <c r="K207" s="1">
        <v>-37906.374560999997</v>
      </c>
      <c r="L207" s="1">
        <v>28737.864646999999</v>
      </c>
      <c r="M207" s="1">
        <v>5</v>
      </c>
      <c r="N207" s="1" t="s">
        <v>32</v>
      </c>
    </row>
    <row r="208" spans="1:14" x14ac:dyDescent="0.55000000000000004">
      <c r="A208" s="50"/>
      <c r="B208" s="1">
        <v>6</v>
      </c>
      <c r="C208" s="1">
        <v>-35.729999999999997</v>
      </c>
      <c r="D208" s="1">
        <v>-3.9760580000000001</v>
      </c>
      <c r="E208" s="1">
        <v>8.4093560000000007</v>
      </c>
      <c r="F208" s="1">
        <v>25</v>
      </c>
      <c r="G208" s="1">
        <v>-5.2810000000000001E-3</v>
      </c>
      <c r="H208" s="1">
        <v>0</v>
      </c>
      <c r="I208" s="1">
        <v>27</v>
      </c>
      <c r="J208" s="1" t="s">
        <v>28</v>
      </c>
      <c r="K208" s="1">
        <v>-1.525539</v>
      </c>
      <c r="L208" s="1">
        <v>4.6999999999999997E-5</v>
      </c>
      <c r="M208" s="1">
        <v>13</v>
      </c>
      <c r="N208" s="1" t="s">
        <v>32</v>
      </c>
    </row>
    <row r="209" spans="1:14" x14ac:dyDescent="0.55000000000000004">
      <c r="A209" s="50"/>
      <c r="B209" s="1">
        <v>7</v>
      </c>
      <c r="C209" s="1">
        <v>-66.06</v>
      </c>
      <c r="D209" s="1">
        <v>-14.019655</v>
      </c>
      <c r="E209" s="1">
        <v>6.2783350000000002</v>
      </c>
      <c r="F209" s="1">
        <v>28</v>
      </c>
      <c r="G209" s="1">
        <v>-5.8719999999999996E-3</v>
      </c>
      <c r="H209" s="1">
        <v>0</v>
      </c>
      <c r="I209" s="1">
        <v>29</v>
      </c>
      <c r="J209" s="1" t="s">
        <v>28</v>
      </c>
      <c r="K209" s="1">
        <v>-7.3246919999999998</v>
      </c>
      <c r="L209" s="1">
        <v>1.073E-3</v>
      </c>
      <c r="M209" s="1">
        <v>13</v>
      </c>
      <c r="N209" s="1" t="s">
        <v>32</v>
      </c>
    </row>
    <row r="210" spans="1:14" x14ac:dyDescent="0.55000000000000004">
      <c r="A210" s="50"/>
      <c r="B210" s="1">
        <v>8</v>
      </c>
      <c r="C210" s="1">
        <v>-63.57</v>
      </c>
      <c r="D210" s="1">
        <v>-11.529655</v>
      </c>
      <c r="E210" s="1">
        <v>8.7683350000000004</v>
      </c>
      <c r="F210" s="1">
        <v>28</v>
      </c>
      <c r="G210" s="1">
        <v>-5.9899999999999997E-3</v>
      </c>
      <c r="H210" s="1">
        <v>0</v>
      </c>
      <c r="I210" s="1">
        <v>29</v>
      </c>
      <c r="J210" s="1" t="s">
        <v>28</v>
      </c>
      <c r="K210" s="1">
        <v>-29.478736000000001</v>
      </c>
      <c r="L210" s="1">
        <v>1.738E-2</v>
      </c>
      <c r="M210" s="1">
        <v>13</v>
      </c>
      <c r="N210" s="1" t="s">
        <v>32</v>
      </c>
    </row>
    <row r="211" spans="1:14" x14ac:dyDescent="0.55000000000000004">
      <c r="A211" s="50"/>
      <c r="B211" s="1">
        <v>9</v>
      </c>
      <c r="C211" s="1">
        <v>-66.209999999999994</v>
      </c>
      <c r="D211" s="1">
        <v>-14.169655000000001</v>
      </c>
      <c r="E211" s="1">
        <v>6.1283349999999999</v>
      </c>
      <c r="F211" s="1">
        <v>28</v>
      </c>
      <c r="G211" s="1">
        <v>1.2329999999999999E-3</v>
      </c>
      <c r="H211" s="1">
        <v>0</v>
      </c>
      <c r="I211" s="1">
        <v>29</v>
      </c>
      <c r="J211" s="1" t="s">
        <v>28</v>
      </c>
      <c r="K211" s="1">
        <v>-7.1053680000000004</v>
      </c>
      <c r="L211" s="1">
        <v>1.01E-3</v>
      </c>
      <c r="M211" s="1">
        <v>13</v>
      </c>
      <c r="N211" s="1" t="s">
        <v>32</v>
      </c>
    </row>
    <row r="212" spans="1:14" x14ac:dyDescent="0.55000000000000004">
      <c r="A212" s="50"/>
      <c r="B212" s="1">
        <v>10</v>
      </c>
      <c r="C212" s="1">
        <v>-67.17</v>
      </c>
      <c r="D212" s="1">
        <v>-5.8143820000000002</v>
      </c>
      <c r="E212" s="1">
        <v>18.116969999999998</v>
      </c>
      <c r="F212" s="1">
        <v>29</v>
      </c>
      <c r="G212" s="1">
        <v>-7.5100000000000002E-3</v>
      </c>
      <c r="H212" s="1">
        <v>0</v>
      </c>
      <c r="I212" s="1">
        <v>29</v>
      </c>
      <c r="J212" s="1" t="s">
        <v>28</v>
      </c>
      <c r="K212" s="1">
        <v>44.414811999999998</v>
      </c>
      <c r="L212" s="1">
        <v>4.8457E-2</v>
      </c>
      <c r="M212" s="1">
        <v>15</v>
      </c>
      <c r="N212" s="1" t="s">
        <v>32</v>
      </c>
    </row>
    <row r="213" spans="1:14" x14ac:dyDescent="0.55000000000000004">
      <c r="A213" s="50"/>
      <c r="B213" s="1">
        <v>11</v>
      </c>
      <c r="C213" s="1">
        <v>-86.12</v>
      </c>
      <c r="D213" s="1">
        <v>-13.781665</v>
      </c>
      <c r="E213" s="1">
        <v>14.433422</v>
      </c>
      <c r="F213" s="1">
        <v>30</v>
      </c>
      <c r="G213" s="1">
        <v>-8.1670000000000006E-3</v>
      </c>
      <c r="H213" s="1">
        <v>0</v>
      </c>
      <c r="I213" s="1">
        <v>31</v>
      </c>
      <c r="J213" s="1" t="s">
        <v>28</v>
      </c>
      <c r="K213" s="1">
        <v>1.951E-3</v>
      </c>
      <c r="L213" s="1">
        <v>0</v>
      </c>
      <c r="M213" s="1">
        <v>7</v>
      </c>
      <c r="N213" s="1" t="s">
        <v>28</v>
      </c>
    </row>
    <row r="214" spans="1:14" x14ac:dyDescent="0.55000000000000004">
      <c r="A214" s="50"/>
      <c r="B214" s="1">
        <v>12</v>
      </c>
      <c r="C214" s="1">
        <v>13.28</v>
      </c>
      <c r="D214" s="1">
        <v>-3.153912</v>
      </c>
      <c r="E214" s="1">
        <v>1.457411</v>
      </c>
      <c r="F214" s="1">
        <v>20</v>
      </c>
      <c r="G214" s="1">
        <v>-1.5809999999999999E-3</v>
      </c>
      <c r="H214" s="1">
        <v>0</v>
      </c>
      <c r="I214" s="1">
        <v>23</v>
      </c>
      <c r="J214" s="1" t="s">
        <v>28</v>
      </c>
      <c r="K214" s="1">
        <v>1.82E-3</v>
      </c>
      <c r="L214" s="1">
        <v>0</v>
      </c>
      <c r="M214" s="1">
        <v>7</v>
      </c>
      <c r="N214" s="1" t="s">
        <v>28</v>
      </c>
    </row>
    <row r="215" spans="1:14" x14ac:dyDescent="0.55000000000000004">
      <c r="A215" s="50"/>
      <c r="B215" s="1">
        <v>13</v>
      </c>
      <c r="C215" s="1">
        <v>19.96</v>
      </c>
      <c r="D215" s="1">
        <v>-2.8838499999999998</v>
      </c>
      <c r="E215" s="1">
        <v>3.5260880000000001</v>
      </c>
      <c r="F215" s="1">
        <v>22</v>
      </c>
      <c r="G215" s="1">
        <v>-3.5199999999999999E-4</v>
      </c>
      <c r="H215" s="1">
        <v>0</v>
      </c>
      <c r="I215" s="1">
        <v>25</v>
      </c>
      <c r="J215" s="1" t="s">
        <v>28</v>
      </c>
      <c r="K215" s="1">
        <v>8.1700000000000002E-3</v>
      </c>
      <c r="L215" s="1">
        <v>0</v>
      </c>
      <c r="M215" s="1">
        <v>7</v>
      </c>
      <c r="N215" s="1" t="s">
        <v>28</v>
      </c>
    </row>
    <row r="216" spans="1:14" x14ac:dyDescent="0.55000000000000004">
      <c r="A216" s="50"/>
      <c r="B216" s="1">
        <v>14</v>
      </c>
      <c r="C216" s="1">
        <v>-77.739999999999995</v>
      </c>
      <c r="D216" s="1">
        <v>-16.384381999999999</v>
      </c>
      <c r="E216" s="1">
        <v>7.54697</v>
      </c>
      <c r="F216" s="1">
        <v>29</v>
      </c>
      <c r="G216" s="1">
        <v>-1.0299000000000001E-2</v>
      </c>
      <c r="H216" s="1">
        <v>0</v>
      </c>
      <c r="I216" s="1">
        <v>29</v>
      </c>
      <c r="J216" s="1" t="s">
        <v>28</v>
      </c>
      <c r="K216" s="1">
        <v>-6.4649700000000001</v>
      </c>
      <c r="L216" s="1">
        <v>8.3600000000000005E-4</v>
      </c>
      <c r="M216" s="1">
        <v>13</v>
      </c>
      <c r="N216" s="1" t="s">
        <v>32</v>
      </c>
    </row>
    <row r="217" spans="1:14" x14ac:dyDescent="0.55000000000000004">
      <c r="A217" s="50"/>
      <c r="B217" s="1">
        <v>15</v>
      </c>
      <c r="C217" s="1">
        <v>24.47</v>
      </c>
      <c r="D217" s="1">
        <v>-2.4629219999999998</v>
      </c>
      <c r="E217" s="1">
        <v>5.0944019999999997</v>
      </c>
      <c r="F217" s="1">
        <v>23</v>
      </c>
      <c r="G217" s="1">
        <v>-5.0689999999999997E-3</v>
      </c>
      <c r="H217" s="1">
        <v>0</v>
      </c>
      <c r="I217" s="1">
        <v>25</v>
      </c>
      <c r="J217" s="1" t="s">
        <v>28</v>
      </c>
      <c r="K217" s="1">
        <v>-1.7423999999999999E-2</v>
      </c>
      <c r="L217" s="1">
        <v>0</v>
      </c>
      <c r="M217" s="1">
        <v>10</v>
      </c>
      <c r="N217" s="1" t="s">
        <v>28</v>
      </c>
    </row>
    <row r="218" spans="1:14" x14ac:dyDescent="0.55000000000000004">
      <c r="A218" s="50"/>
      <c r="B218" s="1">
        <v>16</v>
      </c>
      <c r="C218" s="1">
        <v>-44.65</v>
      </c>
      <c r="D218" s="1">
        <v>-7.2120709999999999</v>
      </c>
      <c r="E218" s="1">
        <v>7.3903449999999999</v>
      </c>
      <c r="F218" s="1">
        <v>26</v>
      </c>
      <c r="G218" s="1">
        <v>2.2720000000000001E-3</v>
      </c>
      <c r="H218" s="1">
        <v>0</v>
      </c>
      <c r="I218" s="1">
        <v>27</v>
      </c>
      <c r="J218" s="1" t="s">
        <v>28</v>
      </c>
      <c r="K218" s="1">
        <v>2.6899999999999998E-4</v>
      </c>
      <c r="L218" s="1">
        <v>0</v>
      </c>
      <c r="M218" s="1">
        <v>7</v>
      </c>
      <c r="N218" s="1" t="s">
        <v>28</v>
      </c>
    </row>
    <row r="219" spans="1:14" x14ac:dyDescent="0.55000000000000004">
      <c r="A219" s="50"/>
      <c r="B219" s="1">
        <v>17</v>
      </c>
      <c r="C219" s="1">
        <v>-31.32</v>
      </c>
      <c r="D219" s="1">
        <v>-4.3870779999999998</v>
      </c>
      <c r="E219" s="1">
        <v>6.1179290000000002</v>
      </c>
      <c r="F219" s="1">
        <v>24</v>
      </c>
      <c r="G219" s="1">
        <v>-6.1549999999999999E-3</v>
      </c>
      <c r="H219" s="1">
        <v>0</v>
      </c>
      <c r="I219" s="1">
        <v>27</v>
      </c>
      <c r="J219" s="1" t="s">
        <v>28</v>
      </c>
      <c r="K219" s="1">
        <v>-4.0305000000000001E-2</v>
      </c>
      <c r="L219" s="1">
        <v>0</v>
      </c>
      <c r="M219" s="1">
        <v>10</v>
      </c>
      <c r="N219" s="1" t="s">
        <v>28</v>
      </c>
    </row>
    <row r="220" spans="1:14" x14ac:dyDescent="0.55000000000000004">
      <c r="A220" s="50"/>
      <c r="B220" s="1">
        <v>18</v>
      </c>
      <c r="C220" s="1">
        <v>-98.06</v>
      </c>
      <c r="D220" s="1">
        <v>-12.77303</v>
      </c>
      <c r="E220" s="1">
        <v>20.492585999999999</v>
      </c>
      <c r="F220" s="1">
        <v>31</v>
      </c>
      <c r="G220" s="1">
        <v>-3.0439999999999998E-3</v>
      </c>
      <c r="H220" s="1">
        <v>0</v>
      </c>
      <c r="I220" s="1">
        <v>31</v>
      </c>
      <c r="J220" s="1" t="s">
        <v>28</v>
      </c>
      <c r="K220" s="1">
        <v>-2.5533860000000002</v>
      </c>
      <c r="L220" s="1">
        <v>1.2999999999999999E-4</v>
      </c>
      <c r="M220" s="1">
        <v>13</v>
      </c>
      <c r="N220" s="1" t="s">
        <v>32</v>
      </c>
    </row>
    <row r="221" spans="1:14" x14ac:dyDescent="0.55000000000000004">
      <c r="A221" s="50"/>
      <c r="B221" s="1">
        <v>19</v>
      </c>
      <c r="C221" s="1">
        <v>74.44</v>
      </c>
      <c r="D221" s="1">
        <v>60.501154999999997</v>
      </c>
      <c r="E221" s="1">
        <v>64.412367000000003</v>
      </c>
      <c r="F221" s="1">
        <v>19</v>
      </c>
      <c r="G221" s="1">
        <v>62.738880999999999</v>
      </c>
      <c r="H221" s="1">
        <v>-0.92114700000000005</v>
      </c>
      <c r="I221" s="1">
        <v>23</v>
      </c>
      <c r="J221" s="1" t="s">
        <v>27</v>
      </c>
      <c r="K221" s="1">
        <v>-8704.5918230000007</v>
      </c>
      <c r="L221" s="1">
        <v>1515.3983760000001</v>
      </c>
      <c r="M221" s="1">
        <v>5</v>
      </c>
      <c r="N221" s="1" t="s">
        <v>32</v>
      </c>
    </row>
    <row r="222" spans="1:14" x14ac:dyDescent="0.55000000000000004">
      <c r="A222" s="50"/>
      <c r="B222" s="1">
        <v>20</v>
      </c>
      <c r="C222" s="1">
        <v>-67.55</v>
      </c>
      <c r="D222" s="1">
        <v>-6.1943820000000001</v>
      </c>
      <c r="E222" s="1">
        <v>17.736969999999999</v>
      </c>
      <c r="F222" s="1">
        <v>29</v>
      </c>
      <c r="G222" s="1">
        <v>-7.7939999999999997E-3</v>
      </c>
      <c r="H222" s="1">
        <v>0</v>
      </c>
      <c r="I222" s="1">
        <v>29</v>
      </c>
      <c r="J222" s="1" t="s">
        <v>28</v>
      </c>
      <c r="K222" s="1">
        <v>-1.1037300000000001</v>
      </c>
      <c r="L222" s="1">
        <v>2.4000000000000001E-5</v>
      </c>
      <c r="M222" s="1">
        <v>18</v>
      </c>
      <c r="N222" s="1" t="s">
        <v>32</v>
      </c>
    </row>
    <row r="223" spans="1:14" x14ac:dyDescent="0.55000000000000004">
      <c r="A223" s="50"/>
      <c r="B223" s="1">
        <v>21</v>
      </c>
      <c r="C223" s="1">
        <v>-4.4400000000000004</v>
      </c>
      <c r="D223" s="1">
        <v>-0.70652400000000004</v>
      </c>
      <c r="E223" s="1">
        <v>0.74969399999999997</v>
      </c>
      <c r="F223" s="1">
        <v>12</v>
      </c>
      <c r="G223" s="1">
        <v>-2.9E-4</v>
      </c>
      <c r="H223" s="1">
        <v>0</v>
      </c>
      <c r="I223" s="1">
        <v>19</v>
      </c>
      <c r="J223" s="1" t="s">
        <v>28</v>
      </c>
      <c r="K223" s="1">
        <v>-4.3399999999999998E-4</v>
      </c>
      <c r="L223" s="1">
        <v>0</v>
      </c>
      <c r="M223" s="1">
        <v>7</v>
      </c>
      <c r="N223" s="1" t="s">
        <v>28</v>
      </c>
    </row>
    <row r="224" spans="1:14" x14ac:dyDescent="0.55000000000000004">
      <c r="A224" s="50"/>
      <c r="B224" s="1">
        <v>22</v>
      </c>
      <c r="C224" s="1">
        <v>-49.34</v>
      </c>
      <c r="D224" s="1">
        <v>-5.2006439999999996</v>
      </c>
      <c r="E224" s="1">
        <v>12.015618</v>
      </c>
      <c r="F224" s="1">
        <v>27</v>
      </c>
      <c r="G224" s="1">
        <v>2.8779999999999999E-3</v>
      </c>
      <c r="H224" s="1">
        <v>0</v>
      </c>
      <c r="I224" s="1">
        <v>29</v>
      </c>
      <c r="J224" s="1" t="s">
        <v>28</v>
      </c>
      <c r="K224" s="1">
        <v>-1.4402010000000001</v>
      </c>
      <c r="L224" s="1">
        <v>4.1E-5</v>
      </c>
      <c r="M224" s="1">
        <v>13</v>
      </c>
      <c r="N224" s="1" t="s">
        <v>32</v>
      </c>
    </row>
    <row r="225" spans="1:14" x14ac:dyDescent="0.55000000000000004">
      <c r="A225" s="50"/>
      <c r="B225" s="1">
        <v>23</v>
      </c>
      <c r="C225" s="1">
        <v>31.49</v>
      </c>
      <c r="D225" s="1">
        <v>-5.9479290000000002</v>
      </c>
      <c r="E225" s="1">
        <v>4.5570779999999997</v>
      </c>
      <c r="F225" s="1">
        <v>25</v>
      </c>
      <c r="G225" s="1">
        <v>-1.4499999999999999E-3</v>
      </c>
      <c r="H225" s="1">
        <v>0</v>
      </c>
      <c r="I225" s="1">
        <v>27</v>
      </c>
      <c r="J225" s="1" t="s">
        <v>28</v>
      </c>
      <c r="K225" s="1">
        <v>7.162E-3</v>
      </c>
      <c r="L225" s="1">
        <v>0</v>
      </c>
      <c r="M225" s="1">
        <v>12</v>
      </c>
      <c r="N225" s="1" t="s">
        <v>28</v>
      </c>
    </row>
    <row r="226" spans="1:14" x14ac:dyDescent="0.55000000000000004">
      <c r="A226" s="50"/>
      <c r="B226" s="1">
        <v>24</v>
      </c>
      <c r="C226" s="1">
        <v>-83.46</v>
      </c>
      <c r="D226" s="1">
        <v>-11.121665</v>
      </c>
      <c r="E226" s="1">
        <v>17.093422</v>
      </c>
      <c r="F226" s="1">
        <v>30</v>
      </c>
      <c r="G226" s="1">
        <v>-2.9100000000000003E-4</v>
      </c>
      <c r="H226" s="1">
        <v>0</v>
      </c>
      <c r="I226" s="1">
        <v>31</v>
      </c>
      <c r="J226" s="1" t="s">
        <v>28</v>
      </c>
      <c r="K226" s="1">
        <v>-3.0924779999999998</v>
      </c>
      <c r="L226" s="1">
        <v>1.9100000000000001E-4</v>
      </c>
      <c r="M226" s="1">
        <v>13</v>
      </c>
      <c r="N226" s="1" t="s">
        <v>32</v>
      </c>
    </row>
    <row r="227" spans="1:14" x14ac:dyDescent="0.55000000000000004">
      <c r="A227" s="50"/>
      <c r="B227" s="1">
        <v>25</v>
      </c>
      <c r="C227" s="1">
        <v>12.69</v>
      </c>
      <c r="D227" s="1">
        <v>-1.248845</v>
      </c>
      <c r="E227" s="1">
        <v>2.6623670000000002</v>
      </c>
      <c r="F227" s="1">
        <v>19</v>
      </c>
      <c r="G227" s="1">
        <v>-4.9509999999999997E-3</v>
      </c>
      <c r="H227" s="1">
        <v>0</v>
      </c>
      <c r="I227" s="1">
        <v>23</v>
      </c>
      <c r="J227" s="1" t="s">
        <v>28</v>
      </c>
      <c r="K227" s="1">
        <v>-0.13889799999999999</v>
      </c>
      <c r="L227" s="1">
        <v>0</v>
      </c>
      <c r="M227" s="1">
        <v>10</v>
      </c>
      <c r="N227" s="1" t="s">
        <v>28</v>
      </c>
    </row>
    <row r="228" spans="1:14" x14ac:dyDescent="0.55000000000000004">
      <c r="A228" s="50"/>
      <c r="B228" s="1">
        <v>26</v>
      </c>
      <c r="C228" s="1">
        <v>-90.78</v>
      </c>
      <c r="D228" s="1">
        <v>-18.441665</v>
      </c>
      <c r="E228" s="1">
        <v>9.7734220000000001</v>
      </c>
      <c r="F228" s="1">
        <v>30</v>
      </c>
      <c r="G228" s="1">
        <v>-5.0179999999999999E-3</v>
      </c>
      <c r="H228" s="1">
        <v>0</v>
      </c>
      <c r="I228" s="1">
        <v>31</v>
      </c>
      <c r="J228" s="1" t="s">
        <v>28</v>
      </c>
      <c r="K228" s="1">
        <v>-6.6435620000000002</v>
      </c>
      <c r="L228" s="1">
        <v>8.83E-4</v>
      </c>
      <c r="M228" s="1">
        <v>13</v>
      </c>
      <c r="N228" s="1" t="s">
        <v>32</v>
      </c>
    </row>
    <row r="229" spans="1:14" x14ac:dyDescent="0.55000000000000004">
      <c r="A229" s="50"/>
      <c r="B229" s="1">
        <v>27</v>
      </c>
      <c r="C229" s="1">
        <v>1.17</v>
      </c>
      <c r="D229" s="1">
        <v>-0.22004299999999999</v>
      </c>
      <c r="E229" s="1">
        <v>0.17</v>
      </c>
      <c r="F229" s="1">
        <v>5</v>
      </c>
      <c r="G229" s="1">
        <v>-7.2919999999999999E-3</v>
      </c>
      <c r="H229" s="1">
        <v>0</v>
      </c>
      <c r="I229" s="1">
        <v>13</v>
      </c>
      <c r="J229" s="1" t="s">
        <v>28</v>
      </c>
      <c r="K229" s="1">
        <v>-2.9987729999999999</v>
      </c>
      <c r="L229" s="1">
        <v>1.8000000000000001E-4</v>
      </c>
      <c r="M229" s="1">
        <v>8</v>
      </c>
      <c r="N229" s="1" t="s">
        <v>32</v>
      </c>
    </row>
    <row r="230" spans="1:14" x14ac:dyDescent="0.55000000000000004">
      <c r="A230" s="50"/>
      <c r="B230" s="1">
        <v>28</v>
      </c>
      <c r="C230" s="1">
        <v>58.27</v>
      </c>
      <c r="D230" s="1">
        <v>62.003475999999999</v>
      </c>
      <c r="E230" s="1">
        <v>63.459693999999999</v>
      </c>
      <c r="F230" s="1">
        <v>12</v>
      </c>
      <c r="G230" s="1">
        <v>62.747210000000003</v>
      </c>
      <c r="H230" s="1">
        <v>-0.92114799999999997</v>
      </c>
      <c r="I230" s="1">
        <v>19</v>
      </c>
      <c r="J230" s="1" t="s">
        <v>27</v>
      </c>
      <c r="K230" s="1">
        <v>-160470.98661200001</v>
      </c>
      <c r="L230" s="1">
        <v>515018.75088399998</v>
      </c>
      <c r="M230" s="1">
        <v>5</v>
      </c>
      <c r="N230" s="1" t="s">
        <v>32</v>
      </c>
    </row>
    <row r="231" spans="1:14" x14ac:dyDescent="0.55000000000000004">
      <c r="A231" s="50"/>
      <c r="B231" s="1">
        <v>29</v>
      </c>
      <c r="C231" s="1">
        <v>23.58</v>
      </c>
      <c r="D231" s="1">
        <v>-3.352922</v>
      </c>
      <c r="E231" s="1">
        <v>4.204402</v>
      </c>
      <c r="F231" s="1">
        <v>23</v>
      </c>
      <c r="G231" s="1">
        <v>7.8399999999999997E-4</v>
      </c>
      <c r="H231" s="1">
        <v>0</v>
      </c>
      <c r="I231" s="1">
        <v>25</v>
      </c>
      <c r="J231" s="1" t="s">
        <v>28</v>
      </c>
      <c r="K231" s="1">
        <v>-6.8006999999999998E-2</v>
      </c>
      <c r="L231" s="1">
        <v>0</v>
      </c>
      <c r="M231" s="1">
        <v>10</v>
      </c>
      <c r="N231" s="1" t="s">
        <v>28</v>
      </c>
    </row>
    <row r="232" spans="1:14" x14ac:dyDescent="0.55000000000000004">
      <c r="A232" s="50"/>
      <c r="B232" s="1">
        <v>30</v>
      </c>
      <c r="C232" s="1">
        <v>79.55</v>
      </c>
      <c r="D232" s="1">
        <v>60.174402000000001</v>
      </c>
      <c r="E232" s="1">
        <v>65.611154999999997</v>
      </c>
      <c r="F232" s="1">
        <v>21</v>
      </c>
      <c r="G232" s="1">
        <v>62.741261999999999</v>
      </c>
      <c r="H232" s="1">
        <v>-0.92114799999999997</v>
      </c>
      <c r="I232" s="1">
        <v>23</v>
      </c>
      <c r="J232" s="1" t="s">
        <v>27</v>
      </c>
      <c r="K232" s="1">
        <v>-3392.2042849999998</v>
      </c>
      <c r="L232" s="1">
        <v>230.140998</v>
      </c>
      <c r="M232" s="1">
        <v>5</v>
      </c>
      <c r="N232" s="1" t="s">
        <v>32</v>
      </c>
    </row>
    <row r="233" spans="1:14" x14ac:dyDescent="0.55000000000000004">
      <c r="A233" s="50"/>
      <c r="B233" s="1">
        <v>31</v>
      </c>
      <c r="C233" s="1">
        <v>-53.03</v>
      </c>
      <c r="D233" s="1">
        <v>-8.890644</v>
      </c>
      <c r="E233" s="1">
        <v>8.3256180000000004</v>
      </c>
      <c r="F233" s="1">
        <v>27</v>
      </c>
      <c r="G233" s="1">
        <v>-2.6819999999999999E-3</v>
      </c>
      <c r="H233" s="1">
        <v>0</v>
      </c>
      <c r="I233" s="1">
        <v>29</v>
      </c>
      <c r="J233" s="1" t="s">
        <v>28</v>
      </c>
      <c r="K233" s="1">
        <v>2.1059999999999998E-3</v>
      </c>
      <c r="L233" s="1">
        <v>0</v>
      </c>
      <c r="M233" s="1">
        <v>7</v>
      </c>
      <c r="N233" s="1" t="s">
        <v>28</v>
      </c>
    </row>
    <row r="234" spans="1:14" x14ac:dyDescent="0.55000000000000004">
      <c r="A234" s="50"/>
      <c r="B234" s="1">
        <v>32</v>
      </c>
      <c r="C234" s="1">
        <v>74.11</v>
      </c>
      <c r="D234" s="1">
        <v>60.171154999999999</v>
      </c>
      <c r="E234" s="1">
        <v>64.082367000000005</v>
      </c>
      <c r="F234" s="1">
        <v>19</v>
      </c>
      <c r="G234" s="1">
        <v>62.742296000000003</v>
      </c>
      <c r="H234" s="1">
        <v>-0.92114799999999997</v>
      </c>
      <c r="I234" s="1">
        <v>23</v>
      </c>
      <c r="J234" s="1" t="s">
        <v>27</v>
      </c>
      <c r="K234" s="1">
        <v>-8700.2926829999997</v>
      </c>
      <c r="L234" s="1">
        <v>1513.9018550000001</v>
      </c>
      <c r="M234" s="1">
        <v>5</v>
      </c>
      <c r="N234" s="1" t="s">
        <v>32</v>
      </c>
    </row>
    <row r="235" spans="1:14" x14ac:dyDescent="0.55000000000000004">
      <c r="A235" s="50"/>
      <c r="B235" s="1">
        <v>33</v>
      </c>
      <c r="C235" s="1">
        <v>-20.78</v>
      </c>
      <c r="D235" s="1">
        <v>-4.346088</v>
      </c>
      <c r="E235" s="1">
        <v>2.06385</v>
      </c>
      <c r="F235" s="1">
        <v>21</v>
      </c>
      <c r="G235" s="1">
        <v>-1.358E-3</v>
      </c>
      <c r="H235" s="1">
        <v>0</v>
      </c>
      <c r="I235" s="1">
        <v>25</v>
      </c>
      <c r="J235" s="1" t="s">
        <v>28</v>
      </c>
      <c r="K235" s="1">
        <v>6.0109999999999999E-3</v>
      </c>
      <c r="L235" s="1">
        <v>0</v>
      </c>
      <c r="M235" s="1">
        <v>12</v>
      </c>
      <c r="N235" s="1" t="s">
        <v>28</v>
      </c>
    </row>
    <row r="236" spans="1:14" x14ac:dyDescent="0.55000000000000004">
      <c r="A236" s="50"/>
      <c r="B236" s="1">
        <v>34</v>
      </c>
      <c r="C236" s="1">
        <v>-0.67</v>
      </c>
      <c r="D236" s="1">
        <v>0.33</v>
      </c>
      <c r="E236" s="1">
        <v>0.50900100000000004</v>
      </c>
      <c r="F236" s="1">
        <v>3</v>
      </c>
      <c r="G236" s="1">
        <v>0.33852399999999999</v>
      </c>
      <c r="H236" s="1">
        <v>1.9999999999999999E-6</v>
      </c>
      <c r="I236" s="1">
        <v>9</v>
      </c>
      <c r="J236" s="1" t="s">
        <v>28</v>
      </c>
      <c r="K236" s="1">
        <v>-106.83336300000001</v>
      </c>
      <c r="L236" s="1">
        <v>0.228267</v>
      </c>
      <c r="M236" s="1">
        <v>5</v>
      </c>
      <c r="N236" s="1" t="s">
        <v>32</v>
      </c>
    </row>
    <row r="237" spans="1:14" x14ac:dyDescent="0.55000000000000004">
      <c r="A237" s="50"/>
      <c r="B237" s="1">
        <v>35</v>
      </c>
      <c r="C237" s="1">
        <v>-62.64</v>
      </c>
      <c r="D237" s="1">
        <v>-10.599655</v>
      </c>
      <c r="E237" s="1">
        <v>9.6983350000000002</v>
      </c>
      <c r="F237" s="1">
        <v>28</v>
      </c>
      <c r="G237" s="1">
        <v>-2.9099999999999998E-3</v>
      </c>
      <c r="H237" s="1">
        <v>0</v>
      </c>
      <c r="I237" s="1">
        <v>29</v>
      </c>
      <c r="J237" s="1" t="s">
        <v>28</v>
      </c>
      <c r="K237" s="1">
        <v>4.4710000000000001E-3</v>
      </c>
      <c r="L237" s="1">
        <v>0</v>
      </c>
      <c r="M237" s="1">
        <v>7</v>
      </c>
      <c r="N237" s="1" t="s">
        <v>28</v>
      </c>
    </row>
    <row r="238" spans="1:14" x14ac:dyDescent="0.55000000000000004">
      <c r="A238" s="50"/>
      <c r="B238" s="1">
        <v>36</v>
      </c>
      <c r="C238" s="1">
        <v>99.61</v>
      </c>
      <c r="D238" s="1">
        <v>55.470644</v>
      </c>
      <c r="E238" s="1">
        <v>67.856058000000004</v>
      </c>
      <c r="F238" s="1">
        <v>26</v>
      </c>
      <c r="G238" s="1">
        <v>62.745232999999999</v>
      </c>
      <c r="H238" s="1">
        <v>-0.92114799999999997</v>
      </c>
      <c r="I238" s="1">
        <v>27</v>
      </c>
      <c r="J238" s="1" t="s">
        <v>27</v>
      </c>
      <c r="K238" s="1">
        <v>-333.06417399999998</v>
      </c>
      <c r="L238" s="1">
        <v>2.2186349999999999</v>
      </c>
      <c r="M238" s="1">
        <v>5</v>
      </c>
      <c r="N238" s="1" t="s">
        <v>32</v>
      </c>
    </row>
    <row r="239" spans="1:14" x14ac:dyDescent="0.55000000000000004">
      <c r="A239" s="50"/>
      <c r="B239" s="1">
        <v>37</v>
      </c>
      <c r="C239" s="1">
        <v>95.18</v>
      </c>
      <c r="D239" s="1">
        <v>57.742071000000003</v>
      </c>
      <c r="E239" s="1">
        <v>68.247078000000002</v>
      </c>
      <c r="F239" s="1">
        <v>25</v>
      </c>
      <c r="G239" s="1">
        <v>62.741323000000001</v>
      </c>
      <c r="H239" s="1">
        <v>-0.92114799999999997</v>
      </c>
      <c r="I239" s="1">
        <v>27</v>
      </c>
      <c r="J239" s="1" t="s">
        <v>27</v>
      </c>
      <c r="K239" s="1">
        <v>-530.68522700000005</v>
      </c>
      <c r="L239" s="1">
        <v>5.632536</v>
      </c>
      <c r="M239" s="1">
        <v>5</v>
      </c>
      <c r="N239" s="1" t="s">
        <v>32</v>
      </c>
    </row>
    <row r="240" spans="1:14" x14ac:dyDescent="0.55000000000000004">
      <c r="A240" s="50"/>
      <c r="B240" s="1">
        <v>38</v>
      </c>
      <c r="C240" s="1">
        <v>42.11</v>
      </c>
      <c r="D240" s="1">
        <v>-9.9303450000000009</v>
      </c>
      <c r="E240" s="1">
        <v>4.6720709999999999</v>
      </c>
      <c r="F240" s="1">
        <v>27</v>
      </c>
      <c r="G240" s="1">
        <v>-9.4800000000000006E-3</v>
      </c>
      <c r="H240" s="1">
        <v>0</v>
      </c>
      <c r="I240" s="1">
        <v>27</v>
      </c>
      <c r="J240" s="1" t="s">
        <v>28</v>
      </c>
      <c r="K240" s="1">
        <v>-10.239371</v>
      </c>
      <c r="L240" s="1">
        <v>2.0969999999999999E-3</v>
      </c>
      <c r="M240" s="1">
        <v>13</v>
      </c>
      <c r="N240" s="1" t="s">
        <v>32</v>
      </c>
    </row>
    <row r="241" spans="1:14" x14ac:dyDescent="0.55000000000000004">
      <c r="A241" s="50"/>
      <c r="B241" s="1">
        <v>39</v>
      </c>
      <c r="C241" s="1">
        <v>-16.09</v>
      </c>
      <c r="D241" s="1">
        <v>-2.1511550000000002</v>
      </c>
      <c r="E241" s="1">
        <v>3.2855979999999998</v>
      </c>
      <c r="F241" s="1">
        <v>20</v>
      </c>
      <c r="G241" s="1">
        <v>-3.192E-3</v>
      </c>
      <c r="H241" s="1">
        <v>0</v>
      </c>
      <c r="I241" s="1">
        <v>23</v>
      </c>
      <c r="J241" s="1" t="s">
        <v>28</v>
      </c>
      <c r="K241" s="1">
        <v>-9.6967999999999999E-2</v>
      </c>
      <c r="L241" s="1">
        <v>0</v>
      </c>
      <c r="M241" s="1">
        <v>10</v>
      </c>
      <c r="N241" s="1" t="s">
        <v>28</v>
      </c>
    </row>
    <row r="242" spans="1:14" x14ac:dyDescent="0.55000000000000004">
      <c r="A242" s="50"/>
      <c r="B242" s="1">
        <v>40</v>
      </c>
      <c r="C242" s="1">
        <v>-31.34</v>
      </c>
      <c r="D242" s="1">
        <v>-4.4070780000000003</v>
      </c>
      <c r="E242" s="1">
        <v>6.0979289999999997</v>
      </c>
      <c r="F242" s="1">
        <v>24</v>
      </c>
      <c r="G242" s="1">
        <v>-6.4209999999999996E-3</v>
      </c>
      <c r="H242" s="1">
        <v>0</v>
      </c>
      <c r="I242" s="1">
        <v>27</v>
      </c>
      <c r="J242" s="1" t="s">
        <v>28</v>
      </c>
      <c r="K242" s="1">
        <v>-4.1054E-2</v>
      </c>
      <c r="L242" s="1">
        <v>0</v>
      </c>
      <c r="M242" s="1">
        <v>10</v>
      </c>
      <c r="N242" s="1" t="s">
        <v>28</v>
      </c>
    </row>
    <row r="243" spans="1:14" x14ac:dyDescent="0.55000000000000004">
      <c r="A243" s="50"/>
      <c r="B243" s="1">
        <v>41</v>
      </c>
      <c r="C243" s="1">
        <v>1.77</v>
      </c>
      <c r="D243" s="1">
        <v>-0.162221</v>
      </c>
      <c r="E243" s="1">
        <v>0.37995699999999999</v>
      </c>
      <c r="F243" s="1">
        <v>7</v>
      </c>
      <c r="G243" s="1">
        <v>-4.496E-3</v>
      </c>
      <c r="H243" s="1">
        <v>0</v>
      </c>
      <c r="I243" s="1">
        <v>13</v>
      </c>
      <c r="J243" s="1" t="s">
        <v>28</v>
      </c>
      <c r="K243" s="1">
        <v>-0.27599400000000002</v>
      </c>
      <c r="L243" s="1">
        <v>1.9999999999999999E-6</v>
      </c>
      <c r="M243" s="1">
        <v>5</v>
      </c>
      <c r="N243" s="1" t="s">
        <v>32</v>
      </c>
    </row>
    <row r="244" spans="1:14" x14ac:dyDescent="0.55000000000000004">
      <c r="A244" s="50"/>
      <c r="B244" s="1">
        <v>42</v>
      </c>
      <c r="C244" s="1">
        <v>12.5</v>
      </c>
      <c r="D244" s="1">
        <v>-1.4388449999999999</v>
      </c>
      <c r="E244" s="1">
        <v>2.4723670000000002</v>
      </c>
      <c r="F244" s="1">
        <v>19</v>
      </c>
      <c r="G244" s="1">
        <v>-2.5959999999999998E-3</v>
      </c>
      <c r="H244" s="1">
        <v>0</v>
      </c>
      <c r="I244" s="1">
        <v>23</v>
      </c>
      <c r="J244" s="1" t="s">
        <v>28</v>
      </c>
      <c r="K244" s="1">
        <v>-0.125143</v>
      </c>
      <c r="L244" s="1">
        <v>0</v>
      </c>
      <c r="M244" s="1">
        <v>10</v>
      </c>
      <c r="N244" s="1" t="s">
        <v>28</v>
      </c>
    </row>
    <row r="245" spans="1:14" x14ac:dyDescent="0.55000000000000004">
      <c r="A245" s="50"/>
      <c r="B245" s="1">
        <v>43</v>
      </c>
      <c r="C245" s="1">
        <v>-79.290000000000006</v>
      </c>
      <c r="D245" s="1">
        <v>-6.9516650000000002</v>
      </c>
      <c r="E245" s="1">
        <v>21.263421999999998</v>
      </c>
      <c r="F245" s="1">
        <v>30</v>
      </c>
      <c r="G245" s="1">
        <v>-8.0599999999999997E-4</v>
      </c>
      <c r="H245" s="1">
        <v>0</v>
      </c>
      <c r="I245" s="1">
        <v>31</v>
      </c>
      <c r="J245" s="1" t="s">
        <v>28</v>
      </c>
      <c r="K245" s="1">
        <v>2.1060690000000002</v>
      </c>
      <c r="L245" s="1">
        <v>8.8999999999999995E-5</v>
      </c>
      <c r="M245" s="1">
        <v>15</v>
      </c>
      <c r="N245" s="1" t="s">
        <v>32</v>
      </c>
    </row>
    <row r="246" spans="1:14" x14ac:dyDescent="0.55000000000000004">
      <c r="A246" s="50"/>
      <c r="B246" s="1">
        <v>44</v>
      </c>
      <c r="C246" s="1">
        <v>97.54</v>
      </c>
      <c r="D246" s="1">
        <v>53.400644</v>
      </c>
      <c r="E246" s="1">
        <v>65.786057999999997</v>
      </c>
      <c r="F246" s="1">
        <v>26</v>
      </c>
      <c r="G246" s="1">
        <v>62.745932000000003</v>
      </c>
      <c r="H246" s="1">
        <v>-0.92114799999999997</v>
      </c>
      <c r="I246" s="1">
        <v>27</v>
      </c>
      <c r="J246" s="1" t="s">
        <v>27</v>
      </c>
      <c r="K246" s="1">
        <v>-399.907127</v>
      </c>
      <c r="L246" s="1">
        <v>3.1985139999999999</v>
      </c>
      <c r="M246" s="1">
        <v>5</v>
      </c>
      <c r="N246" s="1" t="s">
        <v>32</v>
      </c>
    </row>
    <row r="247" spans="1:14" x14ac:dyDescent="0.55000000000000004">
      <c r="A247" s="50"/>
      <c r="B247" s="1">
        <v>45</v>
      </c>
      <c r="C247" s="1">
        <v>7.43</v>
      </c>
      <c r="D247" s="1">
        <v>-1.0751949999999999</v>
      </c>
      <c r="E247" s="1">
        <v>1.3113459999999999</v>
      </c>
      <c r="F247" s="1">
        <v>16</v>
      </c>
      <c r="G247" s="1">
        <v>-5.3660000000000001E-3</v>
      </c>
      <c r="H247" s="1">
        <v>0</v>
      </c>
      <c r="I247" s="1">
        <v>21</v>
      </c>
      <c r="J247" s="1" t="s">
        <v>28</v>
      </c>
      <c r="K247" s="1">
        <v>-5.7499999999999999E-4</v>
      </c>
      <c r="L247" s="1">
        <v>0</v>
      </c>
      <c r="M247" s="1">
        <v>7</v>
      </c>
      <c r="N247" s="1" t="s">
        <v>28</v>
      </c>
    </row>
    <row r="248" spans="1:14" x14ac:dyDescent="0.55000000000000004">
      <c r="A248" s="50"/>
      <c r="B248" s="1">
        <v>46</v>
      </c>
      <c r="C248" s="1">
        <v>-7.66</v>
      </c>
      <c r="D248" s="1">
        <v>-1.5413460000000001</v>
      </c>
      <c r="E248" s="1">
        <v>0.84519500000000003</v>
      </c>
      <c r="F248" s="1">
        <v>15</v>
      </c>
      <c r="G248" s="1">
        <v>-9.4020000000000006E-3</v>
      </c>
      <c r="H248" s="1">
        <v>0</v>
      </c>
      <c r="I248" s="1">
        <v>21</v>
      </c>
      <c r="J248" s="1" t="s">
        <v>28</v>
      </c>
      <c r="K248" s="1">
        <v>-5.3939380000000003</v>
      </c>
      <c r="L248" s="1">
        <v>5.8200000000000005E-4</v>
      </c>
      <c r="M248" s="1">
        <v>13</v>
      </c>
      <c r="N248" s="1" t="s">
        <v>32</v>
      </c>
    </row>
    <row r="249" spans="1:14" x14ac:dyDescent="0.55000000000000004">
      <c r="A249" s="50"/>
      <c r="B249" s="1">
        <v>47</v>
      </c>
      <c r="C249" s="1">
        <v>-83.25</v>
      </c>
      <c r="D249" s="1">
        <v>-10.911664999999999</v>
      </c>
      <c r="E249" s="1">
        <v>17.303422000000001</v>
      </c>
      <c r="F249" s="1">
        <v>30</v>
      </c>
      <c r="G249" s="1">
        <v>-6.2399999999999999E-3</v>
      </c>
      <c r="H249" s="1">
        <v>0</v>
      </c>
      <c r="I249" s="1">
        <v>31</v>
      </c>
      <c r="J249" s="1" t="s">
        <v>28</v>
      </c>
      <c r="K249" s="1">
        <v>-2.825682</v>
      </c>
      <c r="L249" s="1">
        <v>1.6000000000000001E-4</v>
      </c>
      <c r="M249" s="1">
        <v>13</v>
      </c>
      <c r="N249" s="1" t="s">
        <v>32</v>
      </c>
    </row>
    <row r="250" spans="1:14" x14ac:dyDescent="0.55000000000000004">
      <c r="A250" s="50"/>
      <c r="B250" s="1">
        <v>48</v>
      </c>
      <c r="C250" s="1">
        <v>39.68</v>
      </c>
      <c r="D250" s="1">
        <v>-4.4593559999999997</v>
      </c>
      <c r="E250" s="1">
        <v>7.9260580000000003</v>
      </c>
      <c r="F250" s="1">
        <v>26</v>
      </c>
      <c r="G250" s="1">
        <v>-7.7419999999999998E-3</v>
      </c>
      <c r="H250" s="1">
        <v>0</v>
      </c>
      <c r="I250" s="1">
        <v>27</v>
      </c>
      <c r="J250" s="1" t="s">
        <v>28</v>
      </c>
      <c r="K250" s="1">
        <v>-1.201546</v>
      </c>
      <c r="L250" s="1">
        <v>2.9E-5</v>
      </c>
      <c r="M250" s="1">
        <v>13</v>
      </c>
      <c r="N250" s="1" t="s">
        <v>32</v>
      </c>
    </row>
    <row r="251" spans="1:14" x14ac:dyDescent="0.55000000000000004">
      <c r="A251" s="50"/>
      <c r="B251" s="1">
        <v>49</v>
      </c>
      <c r="C251" s="1">
        <v>68.709999999999994</v>
      </c>
      <c r="D251" s="1">
        <v>61.496101000000003</v>
      </c>
      <c r="E251" s="1">
        <v>63.520305999999998</v>
      </c>
      <c r="F251" s="1">
        <v>15</v>
      </c>
      <c r="G251" s="1">
        <v>62.747112000000001</v>
      </c>
      <c r="H251" s="1">
        <v>-0.92114799999999997</v>
      </c>
      <c r="I251" s="1">
        <v>19</v>
      </c>
      <c r="J251" s="1" t="s">
        <v>27</v>
      </c>
      <c r="K251" s="1">
        <v>-60206.719337000002</v>
      </c>
      <c r="L251" s="1">
        <v>72496.981067000001</v>
      </c>
      <c r="M251" s="1">
        <v>5</v>
      </c>
      <c r="N251" s="1" t="s">
        <v>32</v>
      </c>
    </row>
    <row r="252" spans="1:14" x14ac:dyDescent="0.55000000000000004">
      <c r="A252" s="50"/>
      <c r="B252" s="1">
        <v>50</v>
      </c>
      <c r="C252" s="1">
        <v>-38.840000000000003</v>
      </c>
      <c r="D252" s="1">
        <v>-7.0860580000000004</v>
      </c>
      <c r="E252" s="1">
        <v>5.2993560000000004</v>
      </c>
      <c r="F252" s="1">
        <v>25</v>
      </c>
      <c r="G252" s="1">
        <v>2.3999999999999998E-3</v>
      </c>
      <c r="H252" s="1">
        <v>0</v>
      </c>
      <c r="I252" s="1">
        <v>27</v>
      </c>
      <c r="J252" s="1" t="s">
        <v>28</v>
      </c>
      <c r="K252" s="1">
        <v>-41.835493</v>
      </c>
      <c r="L252" s="1">
        <v>3.5004E-2</v>
      </c>
      <c r="M252" s="1">
        <v>13</v>
      </c>
      <c r="N252" s="1" t="s">
        <v>32</v>
      </c>
    </row>
    <row r="253" spans="1:14" x14ac:dyDescent="0.55000000000000004">
      <c r="A253" s="50"/>
      <c r="B253" s="1">
        <v>51</v>
      </c>
      <c r="C253" s="1">
        <v>-65.23</v>
      </c>
      <c r="D253" s="1">
        <v>-13.189655</v>
      </c>
      <c r="E253" s="1">
        <v>7.1083350000000003</v>
      </c>
      <c r="F253" s="1">
        <v>28</v>
      </c>
      <c r="G253" s="1">
        <v>-6.7500000000000004E-4</v>
      </c>
      <c r="H253" s="1">
        <v>0</v>
      </c>
      <c r="I253" s="1">
        <v>29</v>
      </c>
      <c r="J253" s="1" t="s">
        <v>28</v>
      </c>
      <c r="K253" s="1">
        <v>-9.3513319999999993</v>
      </c>
      <c r="L253" s="1">
        <v>1.7489999999999999E-3</v>
      </c>
      <c r="M253" s="1">
        <v>13</v>
      </c>
      <c r="N253" s="1" t="s">
        <v>32</v>
      </c>
    </row>
    <row r="254" spans="1:14" x14ac:dyDescent="0.55000000000000004">
      <c r="A254" s="50"/>
      <c r="B254" s="1">
        <v>52</v>
      </c>
      <c r="C254" s="1">
        <v>5.18</v>
      </c>
      <c r="D254" s="1">
        <v>-0.93865399999999999</v>
      </c>
      <c r="E254" s="1">
        <v>0.77822800000000003</v>
      </c>
      <c r="F254" s="1">
        <v>14</v>
      </c>
      <c r="G254" s="1">
        <v>-2.843E-3</v>
      </c>
      <c r="H254" s="1">
        <v>0</v>
      </c>
      <c r="I254" s="1">
        <v>19</v>
      </c>
      <c r="J254" s="1" t="s">
        <v>28</v>
      </c>
      <c r="K254" s="1">
        <v>-3.545E-3</v>
      </c>
      <c r="L254" s="1">
        <v>0</v>
      </c>
      <c r="M254" s="1">
        <v>7</v>
      </c>
      <c r="N254" s="1" t="s">
        <v>28</v>
      </c>
    </row>
    <row r="255" spans="1:14" x14ac:dyDescent="0.55000000000000004">
      <c r="A255" s="50"/>
      <c r="B255" s="1">
        <v>53</v>
      </c>
      <c r="C255" s="1">
        <v>-82.37</v>
      </c>
      <c r="D255" s="1">
        <v>-10.031665</v>
      </c>
      <c r="E255" s="1">
        <v>18.183422</v>
      </c>
      <c r="F255" s="1">
        <v>30</v>
      </c>
      <c r="G255" s="1">
        <v>-3.5330000000000001E-3</v>
      </c>
      <c r="H255" s="1">
        <v>0</v>
      </c>
      <c r="I255" s="1">
        <v>31</v>
      </c>
      <c r="J255" s="1" t="s">
        <v>28</v>
      </c>
      <c r="K255" s="1">
        <v>-1.8739570000000001</v>
      </c>
      <c r="L255" s="1">
        <v>6.9999999999999994E-5</v>
      </c>
      <c r="M255" s="1">
        <v>13</v>
      </c>
      <c r="N255" s="1" t="s">
        <v>32</v>
      </c>
    </row>
    <row r="256" spans="1:14" x14ac:dyDescent="0.55000000000000004">
      <c r="A256" s="50"/>
      <c r="B256" s="1">
        <v>54</v>
      </c>
      <c r="C256" s="1">
        <v>-29.95</v>
      </c>
      <c r="D256" s="1">
        <v>-3.0170780000000001</v>
      </c>
      <c r="E256" s="1">
        <v>7.4879290000000003</v>
      </c>
      <c r="F256" s="1">
        <v>24</v>
      </c>
      <c r="G256" s="1">
        <v>2.2070000000000002E-3</v>
      </c>
      <c r="H256" s="1">
        <v>0</v>
      </c>
      <c r="I256" s="1">
        <v>27</v>
      </c>
      <c r="J256" s="1" t="s">
        <v>28</v>
      </c>
      <c r="K256" s="1">
        <v>-1.317377</v>
      </c>
      <c r="L256" s="1">
        <v>3.4999999999999997E-5</v>
      </c>
      <c r="M256" s="1">
        <v>13</v>
      </c>
      <c r="N256" s="1" t="s">
        <v>32</v>
      </c>
    </row>
    <row r="257" spans="1:14" x14ac:dyDescent="0.55000000000000004">
      <c r="A257" s="50"/>
      <c r="B257" s="1">
        <v>55</v>
      </c>
      <c r="C257" s="1">
        <v>-7.19</v>
      </c>
      <c r="D257" s="1">
        <v>-1.0713459999999999</v>
      </c>
      <c r="E257" s="1">
        <v>1.3151949999999999</v>
      </c>
      <c r="F257" s="1">
        <v>15</v>
      </c>
      <c r="G257" s="1">
        <v>-1.5169999999999999E-3</v>
      </c>
      <c r="H257" s="1">
        <v>0</v>
      </c>
      <c r="I257" s="1">
        <v>21</v>
      </c>
      <c r="J257" s="1" t="s">
        <v>28</v>
      </c>
      <c r="K257" s="1">
        <v>-5.9100000000000005E-4</v>
      </c>
      <c r="L257" s="1">
        <v>0</v>
      </c>
      <c r="M257" s="1">
        <v>7</v>
      </c>
      <c r="N257" s="1" t="s">
        <v>28</v>
      </c>
    </row>
    <row r="258" spans="1:14" x14ac:dyDescent="0.55000000000000004">
      <c r="A258" s="50"/>
      <c r="B258" s="1">
        <v>56</v>
      </c>
      <c r="C258" s="1">
        <v>79.010000000000005</v>
      </c>
      <c r="D258" s="1">
        <v>59.634402000000001</v>
      </c>
      <c r="E258" s="1">
        <v>65.071155000000005</v>
      </c>
      <c r="F258" s="1">
        <v>21</v>
      </c>
      <c r="G258" s="1">
        <v>62.744937999999998</v>
      </c>
      <c r="H258" s="1">
        <v>-0.92114799999999997</v>
      </c>
      <c r="I258" s="1">
        <v>23</v>
      </c>
      <c r="J258" s="1" t="s">
        <v>27</v>
      </c>
      <c r="K258" s="1">
        <v>-3359.1962840000001</v>
      </c>
      <c r="L258" s="1">
        <v>225.68399299999999</v>
      </c>
      <c r="M258" s="1">
        <v>5</v>
      </c>
      <c r="N258" s="1" t="s">
        <v>32</v>
      </c>
    </row>
    <row r="259" spans="1:14" x14ac:dyDescent="0.55000000000000004">
      <c r="A259" s="50"/>
      <c r="B259" s="1">
        <v>57</v>
      </c>
      <c r="C259" s="1">
        <v>58.55</v>
      </c>
      <c r="D259" s="1">
        <v>62.283476</v>
      </c>
      <c r="E259" s="1">
        <v>63.739694</v>
      </c>
      <c r="F259" s="1">
        <v>12</v>
      </c>
      <c r="G259" s="1">
        <v>62.745966000000003</v>
      </c>
      <c r="H259" s="1">
        <v>-0.92114799999999997</v>
      </c>
      <c r="I259" s="1">
        <v>19</v>
      </c>
      <c r="J259" s="1" t="s">
        <v>27</v>
      </c>
      <c r="K259" s="1">
        <v>-161858.560929</v>
      </c>
      <c r="L259" s="1">
        <v>523963.87492199999</v>
      </c>
      <c r="M259" s="1">
        <v>5</v>
      </c>
      <c r="N259" s="1" t="s">
        <v>32</v>
      </c>
    </row>
    <row r="260" spans="1:14" x14ac:dyDescent="0.55000000000000004">
      <c r="A260" s="50"/>
      <c r="B260" s="1">
        <v>58</v>
      </c>
      <c r="C260" s="1">
        <v>-84.63</v>
      </c>
      <c r="D260" s="1">
        <v>-12.291665</v>
      </c>
      <c r="E260" s="1">
        <v>15.923422</v>
      </c>
      <c r="F260" s="1">
        <v>30</v>
      </c>
      <c r="G260" s="1">
        <v>-2.8170000000000001E-3</v>
      </c>
      <c r="H260" s="1">
        <v>0</v>
      </c>
      <c r="I260" s="1">
        <v>31</v>
      </c>
      <c r="J260" s="1" t="s">
        <v>28</v>
      </c>
      <c r="K260" s="1">
        <v>-3.4873419999999999</v>
      </c>
      <c r="L260" s="1">
        <v>2.43E-4</v>
      </c>
      <c r="M260" s="1">
        <v>13</v>
      </c>
      <c r="N260" s="1" t="s">
        <v>32</v>
      </c>
    </row>
    <row r="261" spans="1:14" x14ac:dyDescent="0.55000000000000004">
      <c r="A261" s="50"/>
      <c r="B261" s="1">
        <v>59</v>
      </c>
      <c r="C261" s="1">
        <v>-79.64</v>
      </c>
      <c r="D261" s="1">
        <v>-7.3016649999999998</v>
      </c>
      <c r="E261" s="1">
        <v>20.913422000000001</v>
      </c>
      <c r="F261" s="1">
        <v>30</v>
      </c>
      <c r="G261" s="1">
        <v>1.11E-4</v>
      </c>
      <c r="H261" s="1">
        <v>0</v>
      </c>
      <c r="I261" s="1">
        <v>31</v>
      </c>
      <c r="J261" s="1" t="s">
        <v>28</v>
      </c>
      <c r="K261" s="1">
        <v>6.8865350000000003</v>
      </c>
      <c r="L261" s="1">
        <v>9.4799999999999995E-4</v>
      </c>
      <c r="M261" s="1">
        <v>15</v>
      </c>
      <c r="N261" s="1" t="s">
        <v>32</v>
      </c>
    </row>
    <row r="262" spans="1:14" x14ac:dyDescent="0.55000000000000004">
      <c r="A262" s="50"/>
      <c r="B262" s="1">
        <v>60</v>
      </c>
      <c r="C262" s="1">
        <v>-2.23</v>
      </c>
      <c r="D262" s="1">
        <v>-0.29777900000000002</v>
      </c>
      <c r="E262" s="1">
        <v>0.45587</v>
      </c>
      <c r="F262" s="1">
        <v>8</v>
      </c>
      <c r="G262" s="1">
        <v>-1.4E-3</v>
      </c>
      <c r="H262" s="1">
        <v>0</v>
      </c>
      <c r="I262" s="1">
        <v>15</v>
      </c>
      <c r="J262" s="1" t="s">
        <v>28</v>
      </c>
      <c r="K262" s="1">
        <v>-0.397175</v>
      </c>
      <c r="L262" s="1">
        <v>3.0000000000000001E-6</v>
      </c>
      <c r="M262" s="1">
        <v>10</v>
      </c>
      <c r="N262" s="1" t="s">
        <v>32</v>
      </c>
    </row>
    <row r="263" spans="1:14" x14ac:dyDescent="0.55000000000000004">
      <c r="A263" s="50"/>
      <c r="B263" s="1">
        <v>61</v>
      </c>
      <c r="C263" s="1">
        <v>-42.34</v>
      </c>
      <c r="D263" s="1">
        <v>-4.9020710000000003</v>
      </c>
      <c r="E263" s="1">
        <v>9.7003450000000004</v>
      </c>
      <c r="F263" s="1">
        <v>26</v>
      </c>
      <c r="G263" s="1">
        <v>-1.0215999999999999E-2</v>
      </c>
      <c r="H263" s="1">
        <v>0</v>
      </c>
      <c r="I263" s="1">
        <v>27</v>
      </c>
      <c r="J263" s="1" t="s">
        <v>28</v>
      </c>
      <c r="K263" s="1">
        <v>-1.774686</v>
      </c>
      <c r="L263" s="1">
        <v>6.3E-5</v>
      </c>
      <c r="M263" s="1">
        <v>13</v>
      </c>
      <c r="N263" s="1" t="s">
        <v>32</v>
      </c>
    </row>
    <row r="264" spans="1:14" x14ac:dyDescent="0.55000000000000004">
      <c r="A264" s="50"/>
      <c r="B264" s="1">
        <v>62</v>
      </c>
      <c r="C264" s="1">
        <v>-99.48</v>
      </c>
      <c r="D264" s="1">
        <v>-14.19303</v>
      </c>
      <c r="E264" s="1">
        <v>19.072586000000001</v>
      </c>
      <c r="F264" s="1">
        <v>31</v>
      </c>
      <c r="G264" s="1">
        <v>-6.8089999999999999E-3</v>
      </c>
      <c r="H264" s="1">
        <v>0</v>
      </c>
      <c r="I264" s="1">
        <v>31</v>
      </c>
      <c r="J264" s="1" t="s">
        <v>28</v>
      </c>
      <c r="K264" s="1">
        <v>-4.5558370000000004</v>
      </c>
      <c r="L264" s="1">
        <v>4.15E-4</v>
      </c>
      <c r="M264" s="1">
        <v>13</v>
      </c>
      <c r="N264" s="1" t="s">
        <v>32</v>
      </c>
    </row>
    <row r="265" spans="1:14" x14ac:dyDescent="0.55000000000000004">
      <c r="A265" s="50"/>
      <c r="B265" s="1">
        <v>63</v>
      </c>
      <c r="C265" s="1">
        <v>26.94</v>
      </c>
      <c r="D265" s="1">
        <v>-4.8139419999999999</v>
      </c>
      <c r="E265" s="1">
        <v>4.0961499999999997</v>
      </c>
      <c r="F265" s="1">
        <v>24</v>
      </c>
      <c r="G265" s="1">
        <v>-2.3110000000000001E-3</v>
      </c>
      <c r="H265" s="1">
        <v>0</v>
      </c>
      <c r="I265" s="1">
        <v>25</v>
      </c>
      <c r="J265" s="1" t="s">
        <v>28</v>
      </c>
      <c r="K265" s="1">
        <v>5.3819999999999996E-3</v>
      </c>
      <c r="L265" s="1">
        <v>0</v>
      </c>
      <c r="M265" s="1">
        <v>7</v>
      </c>
      <c r="N265" s="1" t="s">
        <v>28</v>
      </c>
    </row>
    <row r="266" spans="1:14" x14ac:dyDescent="0.55000000000000004">
      <c r="A266" s="50"/>
      <c r="B266" s="1">
        <v>64</v>
      </c>
      <c r="C266" s="1">
        <v>-91.67</v>
      </c>
      <c r="D266" s="1">
        <v>-19.331665000000001</v>
      </c>
      <c r="E266" s="1">
        <v>8.8834219999999995</v>
      </c>
      <c r="F266" s="1">
        <v>30</v>
      </c>
      <c r="G266" s="1">
        <v>2.5200000000000001E-3</v>
      </c>
      <c r="H266" s="1">
        <v>0</v>
      </c>
      <c r="I266" s="1">
        <v>31</v>
      </c>
      <c r="J266" s="1" t="s">
        <v>28</v>
      </c>
      <c r="K266" s="1">
        <v>-5.5047940000000004</v>
      </c>
      <c r="L266" s="1">
        <v>6.0599999999999998E-4</v>
      </c>
      <c r="M266" s="1">
        <v>13</v>
      </c>
      <c r="N266" s="1" t="s">
        <v>32</v>
      </c>
    </row>
    <row r="267" spans="1:14" x14ac:dyDescent="0.55000000000000004">
      <c r="A267" s="50"/>
      <c r="B267" s="1">
        <v>65</v>
      </c>
      <c r="C267" s="1">
        <v>-70.94</v>
      </c>
      <c r="D267" s="1">
        <v>-9.5843819999999997</v>
      </c>
      <c r="E267" s="1">
        <v>14.346970000000001</v>
      </c>
      <c r="F267" s="1">
        <v>29</v>
      </c>
      <c r="G267" s="1">
        <v>1.1249999999999999E-3</v>
      </c>
      <c r="H267" s="1">
        <v>0</v>
      </c>
      <c r="I267" s="1">
        <v>29</v>
      </c>
      <c r="J267" s="1" t="s">
        <v>28</v>
      </c>
      <c r="K267" s="1">
        <v>-3.1445979999999998</v>
      </c>
      <c r="L267" s="1">
        <v>1.9799999999999999E-4</v>
      </c>
      <c r="M267" s="1">
        <v>13</v>
      </c>
      <c r="N267" s="1" t="s">
        <v>32</v>
      </c>
    </row>
    <row r="268" spans="1:14" x14ac:dyDescent="0.55000000000000004">
      <c r="A268" s="50"/>
      <c r="B268" s="1">
        <v>66</v>
      </c>
      <c r="C268" s="1">
        <v>23.01</v>
      </c>
      <c r="D268" s="1">
        <v>-3.9229219999999998</v>
      </c>
      <c r="E268" s="1">
        <v>3.6344020000000001</v>
      </c>
      <c r="F268" s="1">
        <v>23</v>
      </c>
      <c r="G268" s="1">
        <v>-2.6080000000000001E-3</v>
      </c>
      <c r="H268" s="1">
        <v>0</v>
      </c>
      <c r="I268" s="1">
        <v>25</v>
      </c>
      <c r="J268" s="1" t="s">
        <v>28</v>
      </c>
      <c r="K268" s="1">
        <v>1.0809999999999999E-3</v>
      </c>
      <c r="L268" s="1">
        <v>0</v>
      </c>
      <c r="M268" s="1">
        <v>7</v>
      </c>
      <c r="N268" s="1" t="s">
        <v>28</v>
      </c>
    </row>
    <row r="269" spans="1:14" x14ac:dyDescent="0.55000000000000004">
      <c r="A269" s="50"/>
      <c r="B269" s="1">
        <v>67</v>
      </c>
      <c r="C269" s="1">
        <v>-24.98</v>
      </c>
      <c r="D269" s="1">
        <v>-2.1361500000000002</v>
      </c>
      <c r="E269" s="1">
        <v>6.7739419999999999</v>
      </c>
      <c r="F269" s="1">
        <v>23</v>
      </c>
      <c r="G269" s="1">
        <v>-5.672E-3</v>
      </c>
      <c r="H269" s="1">
        <v>0</v>
      </c>
      <c r="I269" s="1">
        <v>25</v>
      </c>
      <c r="J269" s="1" t="s">
        <v>28</v>
      </c>
      <c r="K269" s="1">
        <v>-1.254367</v>
      </c>
      <c r="L269" s="1">
        <v>3.1000000000000001E-5</v>
      </c>
      <c r="M269" s="1">
        <v>13</v>
      </c>
      <c r="N269" s="1" t="s">
        <v>32</v>
      </c>
    </row>
    <row r="270" spans="1:14" x14ac:dyDescent="0.55000000000000004">
      <c r="A270" s="50"/>
      <c r="B270" s="1">
        <v>68</v>
      </c>
      <c r="C270" s="1">
        <v>-65.569999999999993</v>
      </c>
      <c r="D270" s="1">
        <v>-13.529655</v>
      </c>
      <c r="E270" s="1">
        <v>6.7683350000000004</v>
      </c>
      <c r="F270" s="1">
        <v>28</v>
      </c>
      <c r="G270" s="1">
        <v>-1.0754E-2</v>
      </c>
      <c r="H270" s="1">
        <v>0</v>
      </c>
      <c r="I270" s="1">
        <v>29</v>
      </c>
      <c r="J270" s="1" t="s">
        <v>28</v>
      </c>
      <c r="K270" s="1">
        <v>-8.3192710000000005</v>
      </c>
      <c r="L270" s="1">
        <v>1.384E-3</v>
      </c>
      <c r="M270" s="1">
        <v>13</v>
      </c>
      <c r="N270" s="1" t="s">
        <v>32</v>
      </c>
    </row>
    <row r="271" spans="1:14" x14ac:dyDescent="0.55000000000000004">
      <c r="A271" s="50"/>
      <c r="B271" s="1">
        <v>69</v>
      </c>
      <c r="C271" s="1">
        <v>-78.930000000000007</v>
      </c>
      <c r="D271" s="1">
        <v>-6.5916649999999999</v>
      </c>
      <c r="E271" s="1">
        <v>21.623422000000001</v>
      </c>
      <c r="F271" s="1">
        <v>30</v>
      </c>
      <c r="G271" s="1">
        <v>1.5280000000000001E-3</v>
      </c>
      <c r="H271" s="1">
        <v>0</v>
      </c>
      <c r="I271" s="1">
        <v>31</v>
      </c>
      <c r="J271" s="1" t="s">
        <v>28</v>
      </c>
      <c r="K271" s="1">
        <v>3.77948</v>
      </c>
      <c r="L271" s="1">
        <v>2.8600000000000001E-4</v>
      </c>
      <c r="M271" s="1">
        <v>13</v>
      </c>
      <c r="N271" s="1" t="s">
        <v>32</v>
      </c>
    </row>
    <row r="272" spans="1:14" x14ac:dyDescent="0.55000000000000004">
      <c r="A272" s="50"/>
      <c r="B272" s="1">
        <v>70</v>
      </c>
      <c r="C272" s="1">
        <v>-20.2</v>
      </c>
      <c r="D272" s="1">
        <v>-3.7660879999999999</v>
      </c>
      <c r="E272" s="1">
        <v>2.64385</v>
      </c>
      <c r="F272" s="1">
        <v>21</v>
      </c>
      <c r="G272" s="1">
        <v>-5.8510000000000003E-3</v>
      </c>
      <c r="H272" s="1">
        <v>0</v>
      </c>
      <c r="I272" s="1">
        <v>25</v>
      </c>
      <c r="J272" s="1" t="s">
        <v>28</v>
      </c>
      <c r="K272" s="1">
        <v>4.3049999999999998E-3</v>
      </c>
      <c r="L272" s="1">
        <v>0</v>
      </c>
      <c r="M272" s="1">
        <v>12</v>
      </c>
      <c r="N272" s="1" t="s">
        <v>28</v>
      </c>
    </row>
    <row r="273" spans="1:14" x14ac:dyDescent="0.55000000000000004">
      <c r="A273" s="50"/>
      <c r="B273" s="1">
        <v>71</v>
      </c>
      <c r="C273" s="1">
        <v>-81.96</v>
      </c>
      <c r="D273" s="1">
        <v>-9.6216650000000001</v>
      </c>
      <c r="E273" s="1">
        <v>18.593422</v>
      </c>
      <c r="F273" s="1">
        <v>30</v>
      </c>
      <c r="G273" s="1">
        <v>-5.1859999999999996E-3</v>
      </c>
      <c r="H273" s="1">
        <v>0</v>
      </c>
      <c r="I273" s="1">
        <v>31</v>
      </c>
      <c r="J273" s="1" t="s">
        <v>28</v>
      </c>
      <c r="K273" s="1">
        <v>-1.515161</v>
      </c>
      <c r="L273" s="1">
        <v>4.6E-5</v>
      </c>
      <c r="M273" s="1">
        <v>13</v>
      </c>
      <c r="N273" s="1" t="s">
        <v>32</v>
      </c>
    </row>
    <row r="274" spans="1:14" x14ac:dyDescent="0.55000000000000004">
      <c r="A274" s="50"/>
      <c r="B274" s="1">
        <v>72</v>
      </c>
      <c r="C274" s="1">
        <v>25.17</v>
      </c>
      <c r="D274" s="1">
        <v>-6.5839420000000004</v>
      </c>
      <c r="E274" s="1">
        <v>2.3261500000000002</v>
      </c>
      <c r="F274" s="1">
        <v>24</v>
      </c>
      <c r="G274" s="1">
        <v>-2.9320000000000001E-3</v>
      </c>
      <c r="H274" s="1">
        <v>0</v>
      </c>
      <c r="I274" s="1">
        <v>25</v>
      </c>
      <c r="J274" s="1" t="s">
        <v>28</v>
      </c>
      <c r="K274" s="1">
        <v>-11.024112000000001</v>
      </c>
      <c r="L274" s="1">
        <v>2.431E-3</v>
      </c>
      <c r="M274" s="1">
        <v>13</v>
      </c>
      <c r="N274" s="1" t="s">
        <v>32</v>
      </c>
    </row>
    <row r="275" spans="1:14" x14ac:dyDescent="0.55000000000000004">
      <c r="A275" s="50"/>
      <c r="B275" s="1">
        <v>73</v>
      </c>
      <c r="C275" s="1">
        <v>0.42</v>
      </c>
      <c r="D275" s="1">
        <v>-0.57999999999999996</v>
      </c>
      <c r="E275" s="1">
        <v>1.42</v>
      </c>
      <c r="F275" s="1">
        <v>3</v>
      </c>
      <c r="G275" s="1">
        <v>-4.8929999999999998E-3</v>
      </c>
      <c r="H275" s="1">
        <v>0</v>
      </c>
      <c r="I275" s="1">
        <v>19</v>
      </c>
      <c r="J275" s="1" t="s">
        <v>28</v>
      </c>
      <c r="K275" s="1">
        <v>7.2300000000000001E-4</v>
      </c>
      <c r="L275" s="1">
        <v>0</v>
      </c>
      <c r="M275" s="1">
        <v>7</v>
      </c>
      <c r="N275" s="1" t="s">
        <v>28</v>
      </c>
    </row>
    <row r="276" spans="1:14" x14ac:dyDescent="0.55000000000000004">
      <c r="A276" s="50"/>
      <c r="B276" s="1">
        <v>74</v>
      </c>
      <c r="C276" s="1">
        <v>-50.59</v>
      </c>
      <c r="D276" s="1">
        <v>-6.4506439999999996</v>
      </c>
      <c r="E276" s="1">
        <v>10.765618</v>
      </c>
      <c r="F276" s="1">
        <v>27</v>
      </c>
      <c r="G276" s="1">
        <v>-7.8709999999999995E-3</v>
      </c>
      <c r="H276" s="1">
        <v>0</v>
      </c>
      <c r="I276" s="1">
        <v>29</v>
      </c>
      <c r="J276" s="1" t="s">
        <v>28</v>
      </c>
      <c r="K276" s="1">
        <v>-2.2020620000000002</v>
      </c>
      <c r="L276" s="1">
        <v>9.7E-5</v>
      </c>
      <c r="M276" s="1">
        <v>13</v>
      </c>
      <c r="N276" s="1" t="s">
        <v>32</v>
      </c>
    </row>
    <row r="277" spans="1:14" x14ac:dyDescent="0.55000000000000004">
      <c r="A277" s="50"/>
      <c r="B277" s="1">
        <v>75</v>
      </c>
      <c r="C277" s="1">
        <v>24.93</v>
      </c>
      <c r="D277" s="1">
        <v>-6.8239419999999997</v>
      </c>
      <c r="E277" s="1">
        <v>2.0861499999999999</v>
      </c>
      <c r="F277" s="1">
        <v>24</v>
      </c>
      <c r="G277" s="1">
        <v>-8.2179999999999996E-3</v>
      </c>
      <c r="H277" s="1">
        <v>0</v>
      </c>
      <c r="I277" s="1">
        <v>25</v>
      </c>
      <c r="J277" s="1" t="s">
        <v>28</v>
      </c>
      <c r="K277" s="1">
        <v>-10.288125000000001</v>
      </c>
      <c r="L277" s="1">
        <v>2.117E-3</v>
      </c>
      <c r="M277" s="1">
        <v>13</v>
      </c>
      <c r="N277" s="1" t="s">
        <v>32</v>
      </c>
    </row>
    <row r="278" spans="1:14" x14ac:dyDescent="0.55000000000000004">
      <c r="A278" s="50"/>
      <c r="B278" s="1">
        <v>76</v>
      </c>
      <c r="C278" s="1">
        <v>77.819999999999993</v>
      </c>
      <c r="D278" s="1">
        <v>61.386088000000001</v>
      </c>
      <c r="E278" s="1">
        <v>65.997411</v>
      </c>
      <c r="F278" s="1">
        <v>20</v>
      </c>
      <c r="G278" s="1">
        <v>62.739246999999999</v>
      </c>
      <c r="H278" s="1">
        <v>-0.92114700000000005</v>
      </c>
      <c r="I278" s="1">
        <v>23</v>
      </c>
      <c r="J278" s="1" t="s">
        <v>27</v>
      </c>
      <c r="K278" s="1">
        <v>-5676.32258</v>
      </c>
      <c r="L278" s="1">
        <v>644.41276100000005</v>
      </c>
      <c r="M278" s="1">
        <v>5</v>
      </c>
      <c r="N278" s="1" t="s">
        <v>32</v>
      </c>
    </row>
    <row r="279" spans="1:14" x14ac:dyDescent="0.55000000000000004">
      <c r="A279" s="50"/>
      <c r="B279" s="1">
        <v>77</v>
      </c>
      <c r="C279" s="1">
        <v>87.02</v>
      </c>
      <c r="D279" s="1">
        <v>60.087077999999998</v>
      </c>
      <c r="E279" s="1">
        <v>67.644401999999999</v>
      </c>
      <c r="F279" s="1">
        <v>23</v>
      </c>
      <c r="G279" s="1">
        <v>62.744010000000003</v>
      </c>
      <c r="H279" s="1">
        <v>-0.92114799999999997</v>
      </c>
      <c r="I279" s="1">
        <v>25</v>
      </c>
      <c r="J279" s="1" t="s">
        <v>27</v>
      </c>
      <c r="K279" s="1">
        <v>-1402.0603000000001</v>
      </c>
      <c r="L279" s="1">
        <v>39.315461999999997</v>
      </c>
      <c r="M279" s="1">
        <v>5</v>
      </c>
      <c r="N279" s="1" t="s">
        <v>32</v>
      </c>
    </row>
    <row r="280" spans="1:14" x14ac:dyDescent="0.55000000000000004">
      <c r="A280" s="50"/>
      <c r="B280" s="1">
        <v>78</v>
      </c>
      <c r="C280" s="1">
        <v>-65.150000000000006</v>
      </c>
      <c r="D280" s="1">
        <v>-13.109655</v>
      </c>
      <c r="E280" s="1">
        <v>7.1883350000000004</v>
      </c>
      <c r="F280" s="1">
        <v>28</v>
      </c>
      <c r="G280" s="1">
        <v>-7.0829999999999999E-3</v>
      </c>
      <c r="H280" s="1">
        <v>0</v>
      </c>
      <c r="I280" s="1">
        <v>29</v>
      </c>
      <c r="J280" s="1" t="s">
        <v>28</v>
      </c>
      <c r="K280" s="1">
        <v>-9.6497630000000001</v>
      </c>
      <c r="L280" s="1">
        <v>1.8619999999999999E-3</v>
      </c>
      <c r="M280" s="1">
        <v>13</v>
      </c>
      <c r="N280" s="1" t="s">
        <v>32</v>
      </c>
    </row>
    <row r="281" spans="1:14" x14ac:dyDescent="0.55000000000000004">
      <c r="A281" s="50"/>
      <c r="B281" s="1">
        <v>79</v>
      </c>
      <c r="C281" s="1">
        <v>-42.14</v>
      </c>
      <c r="D281" s="1">
        <v>-4.7020710000000001</v>
      </c>
      <c r="E281" s="1">
        <v>9.9003449999999997</v>
      </c>
      <c r="F281" s="1">
        <v>26</v>
      </c>
      <c r="G281" s="1">
        <v>-2.2330000000000002E-3</v>
      </c>
      <c r="H281" s="1">
        <v>0</v>
      </c>
      <c r="I281" s="1">
        <v>27</v>
      </c>
      <c r="J281" s="1" t="s">
        <v>28</v>
      </c>
      <c r="K281" s="1">
        <v>-1.6892039999999999</v>
      </c>
      <c r="L281" s="1">
        <v>5.7000000000000003E-5</v>
      </c>
      <c r="M281" s="1">
        <v>13</v>
      </c>
      <c r="N281" s="1" t="s">
        <v>32</v>
      </c>
    </row>
    <row r="282" spans="1:14" x14ac:dyDescent="0.55000000000000004">
      <c r="A282" s="50"/>
      <c r="B282" s="1">
        <v>80</v>
      </c>
      <c r="C282" s="1">
        <v>13.18</v>
      </c>
      <c r="D282" s="1">
        <v>-3.2539120000000001</v>
      </c>
      <c r="E282" s="1">
        <v>1.3574109999999999</v>
      </c>
      <c r="F282" s="1">
        <v>20</v>
      </c>
      <c r="G282" s="1">
        <v>-3.307E-3</v>
      </c>
      <c r="H282" s="1">
        <v>0</v>
      </c>
      <c r="I282" s="1">
        <v>23</v>
      </c>
      <c r="J282" s="1" t="s">
        <v>28</v>
      </c>
      <c r="K282" s="1">
        <v>-2.8869999999999998E-3</v>
      </c>
      <c r="L282" s="1">
        <v>0</v>
      </c>
      <c r="M282" s="1">
        <v>7</v>
      </c>
      <c r="N282" s="1" t="s">
        <v>28</v>
      </c>
    </row>
    <row r="283" spans="1:14" x14ac:dyDescent="0.55000000000000004">
      <c r="A283" s="50"/>
      <c r="B283" s="1">
        <v>81</v>
      </c>
      <c r="C283" s="1">
        <v>-67.45</v>
      </c>
      <c r="D283" s="1">
        <v>-6.0943820000000004</v>
      </c>
      <c r="E283" s="1">
        <v>17.836970000000001</v>
      </c>
      <c r="F283" s="1">
        <v>29</v>
      </c>
      <c r="G283" s="1">
        <v>-4.08E-4</v>
      </c>
      <c r="H283" s="1">
        <v>0</v>
      </c>
      <c r="I283" s="1">
        <v>29</v>
      </c>
      <c r="J283" s="1" t="s">
        <v>28</v>
      </c>
      <c r="K283" s="1">
        <v>-6.7037129999999996</v>
      </c>
      <c r="L283" s="1">
        <v>8.9899999999999995E-4</v>
      </c>
      <c r="M283" s="1">
        <v>18</v>
      </c>
      <c r="N283" s="1" t="s">
        <v>32</v>
      </c>
    </row>
    <row r="284" spans="1:14" x14ac:dyDescent="0.55000000000000004">
      <c r="A284" s="50"/>
      <c r="B284" s="1">
        <v>82</v>
      </c>
      <c r="C284" s="1">
        <v>-20.52</v>
      </c>
      <c r="D284" s="1">
        <v>-4.0860880000000002</v>
      </c>
      <c r="E284" s="1">
        <v>2.3238500000000002</v>
      </c>
      <c r="F284" s="1">
        <v>21</v>
      </c>
      <c r="G284" s="1">
        <v>-1.1329999999999999E-3</v>
      </c>
      <c r="H284" s="1">
        <v>0</v>
      </c>
      <c r="I284" s="1">
        <v>25</v>
      </c>
      <c r="J284" s="1" t="s">
        <v>28</v>
      </c>
      <c r="K284" s="1">
        <v>6.3990000000000002E-3</v>
      </c>
      <c r="L284" s="1">
        <v>0</v>
      </c>
      <c r="M284" s="1">
        <v>12</v>
      </c>
      <c r="N284" s="1" t="s">
        <v>28</v>
      </c>
    </row>
    <row r="285" spans="1:14" x14ac:dyDescent="0.55000000000000004">
      <c r="A285" s="50"/>
      <c r="B285" s="1">
        <v>83</v>
      </c>
      <c r="C285" s="1">
        <v>-55.33</v>
      </c>
      <c r="D285" s="1">
        <v>-11.190644000000001</v>
      </c>
      <c r="E285" s="1">
        <v>6.0256179999999997</v>
      </c>
      <c r="F285" s="1">
        <v>27</v>
      </c>
      <c r="G285" s="1">
        <v>-4.071E-3</v>
      </c>
      <c r="H285" s="1">
        <v>0</v>
      </c>
      <c r="I285" s="1">
        <v>29</v>
      </c>
      <c r="J285" s="1" t="s">
        <v>28</v>
      </c>
      <c r="K285" s="1">
        <v>-10.835839</v>
      </c>
      <c r="L285" s="1">
        <v>2.3479999999999998E-3</v>
      </c>
      <c r="M285" s="1">
        <v>13</v>
      </c>
      <c r="N285" s="1" t="s">
        <v>32</v>
      </c>
    </row>
    <row r="286" spans="1:14" x14ac:dyDescent="0.55000000000000004">
      <c r="A286" s="50"/>
      <c r="B286" s="1">
        <v>84</v>
      </c>
      <c r="C286" s="1">
        <v>-17.489999999999998</v>
      </c>
      <c r="D286" s="1">
        <v>-3.5511550000000001</v>
      </c>
      <c r="E286" s="1">
        <v>1.8855980000000001</v>
      </c>
      <c r="F286" s="1">
        <v>20</v>
      </c>
      <c r="G286" s="1">
        <v>-3.8960000000000002E-3</v>
      </c>
      <c r="H286" s="1">
        <v>0</v>
      </c>
      <c r="I286" s="1">
        <v>23</v>
      </c>
      <c r="J286" s="1" t="s">
        <v>28</v>
      </c>
      <c r="K286" s="1">
        <v>2.9650000000000002E-3</v>
      </c>
      <c r="L286" s="1">
        <v>0</v>
      </c>
      <c r="M286" s="1">
        <v>12</v>
      </c>
      <c r="N286" s="1" t="s">
        <v>28</v>
      </c>
    </row>
    <row r="287" spans="1:14" x14ac:dyDescent="0.55000000000000004">
      <c r="A287" s="50"/>
      <c r="B287" s="1">
        <v>85</v>
      </c>
      <c r="C287" s="1">
        <v>-27.67</v>
      </c>
      <c r="D287" s="1">
        <v>-4.8261500000000002</v>
      </c>
      <c r="E287" s="1">
        <v>4.0839420000000004</v>
      </c>
      <c r="F287" s="1">
        <v>23</v>
      </c>
      <c r="G287" s="1">
        <v>3.5349999999999999E-3</v>
      </c>
      <c r="H287" s="1">
        <v>0</v>
      </c>
      <c r="I287" s="1">
        <v>25</v>
      </c>
      <c r="J287" s="1" t="s">
        <v>28</v>
      </c>
      <c r="K287" s="1">
        <v>5.7159999999999997E-3</v>
      </c>
      <c r="L287" s="1">
        <v>0</v>
      </c>
      <c r="M287" s="1">
        <v>7</v>
      </c>
      <c r="N287" s="1" t="s">
        <v>28</v>
      </c>
    </row>
    <row r="288" spans="1:14" x14ac:dyDescent="0.55000000000000004">
      <c r="A288" s="50"/>
      <c r="B288" s="1">
        <v>86</v>
      </c>
      <c r="C288" s="1">
        <v>18.440000000000001</v>
      </c>
      <c r="D288" s="1">
        <v>-4.4038500000000003</v>
      </c>
      <c r="E288" s="1">
        <v>2.0060880000000001</v>
      </c>
      <c r="F288" s="1">
        <v>22</v>
      </c>
      <c r="G288" s="1">
        <v>-7.1650000000000004E-3</v>
      </c>
      <c r="H288" s="1">
        <v>0</v>
      </c>
      <c r="I288" s="1">
        <v>25</v>
      </c>
      <c r="J288" s="1" t="s">
        <v>28</v>
      </c>
      <c r="K288" s="1">
        <v>5.6360000000000004E-3</v>
      </c>
      <c r="L288" s="1">
        <v>0</v>
      </c>
      <c r="M288" s="1">
        <v>12</v>
      </c>
      <c r="N288" s="1" t="s">
        <v>28</v>
      </c>
    </row>
    <row r="289" spans="1:14" x14ac:dyDescent="0.55000000000000004">
      <c r="A289" s="50"/>
      <c r="B289" s="1">
        <v>87</v>
      </c>
      <c r="C289" s="1">
        <v>7.94</v>
      </c>
      <c r="D289" s="1">
        <v>-2.0876329999999998</v>
      </c>
      <c r="E289" s="1">
        <v>0.726101</v>
      </c>
      <c r="F289" s="1">
        <v>17</v>
      </c>
      <c r="G289" s="1">
        <v>-5.3210000000000002E-3</v>
      </c>
      <c r="H289" s="1">
        <v>0</v>
      </c>
      <c r="I289" s="1">
        <v>21</v>
      </c>
      <c r="J289" s="1" t="s">
        <v>28</v>
      </c>
      <c r="K289" s="1">
        <v>-0.79035599999999995</v>
      </c>
      <c r="L289" s="1">
        <v>1.2E-5</v>
      </c>
      <c r="M289" s="1">
        <v>13</v>
      </c>
      <c r="N289" s="1" t="s">
        <v>28</v>
      </c>
    </row>
    <row r="290" spans="1:14" x14ac:dyDescent="0.55000000000000004">
      <c r="A290" s="50"/>
      <c r="B290" s="1">
        <v>88</v>
      </c>
      <c r="C290" s="1">
        <v>-91.47</v>
      </c>
      <c r="D290" s="1">
        <v>-19.131665000000002</v>
      </c>
      <c r="E290" s="1">
        <v>9.0834220000000006</v>
      </c>
      <c r="F290" s="1">
        <v>30</v>
      </c>
      <c r="G290" s="1">
        <v>-6.6810000000000003E-3</v>
      </c>
      <c r="H290" s="1">
        <v>0</v>
      </c>
      <c r="I290" s="1">
        <v>31</v>
      </c>
      <c r="J290" s="1" t="s">
        <v>28</v>
      </c>
      <c r="K290" s="1">
        <v>-5.7013530000000001</v>
      </c>
      <c r="L290" s="1">
        <v>6.4999999999999997E-4</v>
      </c>
      <c r="M290" s="1">
        <v>13</v>
      </c>
      <c r="N290" s="1" t="s">
        <v>32</v>
      </c>
    </row>
    <row r="291" spans="1:14" x14ac:dyDescent="0.55000000000000004">
      <c r="A291" s="50"/>
      <c r="B291" s="1">
        <v>89</v>
      </c>
      <c r="C291" s="1">
        <v>0.9</v>
      </c>
      <c r="D291" s="1">
        <v>-0.49004300000000001</v>
      </c>
      <c r="E291" s="1">
        <v>-0.1</v>
      </c>
      <c r="F291" s="1">
        <v>5</v>
      </c>
      <c r="G291" s="1">
        <v>-0.11418300000000001</v>
      </c>
      <c r="H291" s="1">
        <v>0</v>
      </c>
      <c r="I291" s="1">
        <v>13</v>
      </c>
      <c r="J291" s="1" t="s">
        <v>28</v>
      </c>
      <c r="K291" s="1">
        <v>-5.8378410000000001</v>
      </c>
      <c r="L291" s="1">
        <v>6.8199999999999999E-4</v>
      </c>
      <c r="M291" s="1">
        <v>5</v>
      </c>
      <c r="N291" s="1" t="s">
        <v>32</v>
      </c>
    </row>
    <row r="292" spans="1:14" x14ac:dyDescent="0.55000000000000004">
      <c r="A292" s="50"/>
      <c r="B292" s="1">
        <v>90</v>
      </c>
      <c r="C292" s="1">
        <v>50.01</v>
      </c>
      <c r="D292" s="1">
        <v>60.037633</v>
      </c>
      <c r="E292" s="1">
        <v>63.948844999999999</v>
      </c>
      <c r="F292" s="1">
        <v>18</v>
      </c>
      <c r="G292" s="1">
        <v>62.743422000000002</v>
      </c>
      <c r="H292" s="1">
        <v>-0.92114799999999997</v>
      </c>
      <c r="I292" s="1">
        <v>23</v>
      </c>
      <c r="J292" s="1" t="s">
        <v>27</v>
      </c>
      <c r="K292" s="1">
        <v>-8712.3642400000008</v>
      </c>
      <c r="L292" s="1">
        <v>1518.1058129999999</v>
      </c>
      <c r="M292" s="1">
        <v>5</v>
      </c>
      <c r="N292" s="1" t="s">
        <v>32</v>
      </c>
    </row>
    <row r="293" spans="1:14" x14ac:dyDescent="0.55000000000000004">
      <c r="A293" s="50"/>
      <c r="B293" s="1">
        <v>91</v>
      </c>
      <c r="C293" s="1">
        <v>-33.58</v>
      </c>
      <c r="D293" s="1">
        <v>-6.6470779999999996</v>
      </c>
      <c r="E293" s="1">
        <v>3.8579289999999999</v>
      </c>
      <c r="F293" s="1">
        <v>24</v>
      </c>
      <c r="G293" s="1">
        <v>3.2429999999999998E-3</v>
      </c>
      <c r="H293" s="1">
        <v>0</v>
      </c>
      <c r="I293" s="1">
        <v>27</v>
      </c>
      <c r="J293" s="1" t="s">
        <v>28</v>
      </c>
      <c r="K293" s="1">
        <v>-18.901872000000001</v>
      </c>
      <c r="L293" s="1">
        <v>7.1459999999999996E-3</v>
      </c>
      <c r="M293" s="1">
        <v>13</v>
      </c>
      <c r="N293" s="1" t="s">
        <v>32</v>
      </c>
    </row>
    <row r="294" spans="1:14" x14ac:dyDescent="0.55000000000000004">
      <c r="A294" s="50"/>
      <c r="B294" s="1">
        <v>92</v>
      </c>
      <c r="C294" s="1">
        <v>-31.15</v>
      </c>
      <c r="D294" s="1">
        <v>-4.2170779999999999</v>
      </c>
      <c r="E294" s="1">
        <v>6.2879290000000001</v>
      </c>
      <c r="F294" s="1">
        <v>24</v>
      </c>
      <c r="G294" s="1">
        <v>-7.182E-3</v>
      </c>
      <c r="H294" s="1">
        <v>0</v>
      </c>
      <c r="I294" s="1">
        <v>27</v>
      </c>
      <c r="J294" s="1" t="s">
        <v>28</v>
      </c>
      <c r="K294" s="1">
        <v>-3.2154000000000002E-2</v>
      </c>
      <c r="L294" s="1">
        <v>0</v>
      </c>
      <c r="M294" s="1">
        <v>10</v>
      </c>
      <c r="N294" s="1" t="s">
        <v>28</v>
      </c>
    </row>
    <row r="295" spans="1:14" x14ac:dyDescent="0.55000000000000004">
      <c r="A295" s="50"/>
      <c r="B295" s="1">
        <v>93</v>
      </c>
      <c r="C295" s="1">
        <v>-73.37</v>
      </c>
      <c r="D295" s="1">
        <v>-12.014381999999999</v>
      </c>
      <c r="E295" s="1">
        <v>11.916969999999999</v>
      </c>
      <c r="F295" s="1">
        <v>29</v>
      </c>
      <c r="G295" s="1">
        <v>-2.3990000000000001E-3</v>
      </c>
      <c r="H295" s="1">
        <v>0</v>
      </c>
      <c r="I295" s="1">
        <v>29</v>
      </c>
      <c r="J295" s="1" t="s">
        <v>28</v>
      </c>
      <c r="K295" s="1">
        <v>4.8000000000000001E-5</v>
      </c>
      <c r="L295" s="1">
        <v>0</v>
      </c>
      <c r="M295" s="1">
        <v>7</v>
      </c>
      <c r="N295" s="1" t="s">
        <v>28</v>
      </c>
    </row>
    <row r="296" spans="1:14" x14ac:dyDescent="0.55000000000000004">
      <c r="A296" s="50"/>
      <c r="B296" s="1">
        <v>94</v>
      </c>
      <c r="C296" s="1">
        <v>44.98</v>
      </c>
      <c r="D296" s="1">
        <v>58.918844999999997</v>
      </c>
      <c r="E296" s="1">
        <v>64.355598000000001</v>
      </c>
      <c r="F296" s="1">
        <v>20</v>
      </c>
      <c r="G296" s="1">
        <v>62.751309999999997</v>
      </c>
      <c r="H296" s="1">
        <v>-0.92114799999999997</v>
      </c>
      <c r="I296" s="1">
        <v>23</v>
      </c>
      <c r="J296" s="1" t="s">
        <v>27</v>
      </c>
      <c r="K296" s="1">
        <v>-3391.677103</v>
      </c>
      <c r="L296" s="1">
        <v>230.06947099999999</v>
      </c>
      <c r="M296" s="1">
        <v>5</v>
      </c>
      <c r="N296" s="1" t="s">
        <v>32</v>
      </c>
    </row>
    <row r="297" spans="1:14" x14ac:dyDescent="0.55000000000000004">
      <c r="A297" s="50"/>
      <c r="B297" s="1">
        <v>95</v>
      </c>
      <c r="C297" s="1">
        <v>18.02</v>
      </c>
      <c r="D297" s="1">
        <v>-4.8238500000000002</v>
      </c>
      <c r="E297" s="1">
        <v>1.5860879999999999</v>
      </c>
      <c r="F297" s="1">
        <v>22</v>
      </c>
      <c r="G297" s="1">
        <v>-5.0309999999999999E-3</v>
      </c>
      <c r="H297" s="1">
        <v>0</v>
      </c>
      <c r="I297" s="1">
        <v>25</v>
      </c>
      <c r="J297" s="1" t="s">
        <v>28</v>
      </c>
      <c r="K297" s="1">
        <v>1.059E-3</v>
      </c>
      <c r="L297" s="1">
        <v>0</v>
      </c>
      <c r="M297" s="1">
        <v>12</v>
      </c>
      <c r="N297" s="1" t="s">
        <v>28</v>
      </c>
    </row>
    <row r="298" spans="1:14" x14ac:dyDescent="0.55000000000000004">
      <c r="A298" s="50"/>
      <c r="B298" s="1">
        <v>96</v>
      </c>
      <c r="C298" s="1">
        <v>2.82</v>
      </c>
      <c r="D298" s="1">
        <v>-0.34664400000000001</v>
      </c>
      <c r="E298" s="1">
        <v>0.54191</v>
      </c>
      <c r="F298" s="1">
        <v>10</v>
      </c>
      <c r="G298" s="1">
        <v>2.787E-3</v>
      </c>
      <c r="H298" s="1">
        <v>0</v>
      </c>
      <c r="I298" s="1">
        <v>15</v>
      </c>
      <c r="J298" s="1" t="s">
        <v>28</v>
      </c>
      <c r="K298" s="1">
        <v>-1.093361</v>
      </c>
      <c r="L298" s="1">
        <v>2.4000000000000001E-5</v>
      </c>
      <c r="M298" s="1">
        <v>10</v>
      </c>
      <c r="N298" s="1" t="s">
        <v>32</v>
      </c>
    </row>
    <row r="299" spans="1:14" x14ac:dyDescent="0.55000000000000004">
      <c r="A299" s="50"/>
      <c r="B299" s="1">
        <v>97</v>
      </c>
      <c r="C299" s="1">
        <v>-27.32</v>
      </c>
      <c r="D299" s="1">
        <v>-4.4761499999999996</v>
      </c>
      <c r="E299" s="1">
        <v>4.433942</v>
      </c>
      <c r="F299" s="1">
        <v>23</v>
      </c>
      <c r="G299" s="1">
        <v>-7.5630000000000003E-3</v>
      </c>
      <c r="H299" s="1">
        <v>0</v>
      </c>
      <c r="I299" s="1">
        <v>25</v>
      </c>
      <c r="J299" s="1" t="s">
        <v>28</v>
      </c>
      <c r="K299" s="1">
        <v>2.1999999999999999E-5</v>
      </c>
      <c r="L299" s="1">
        <v>0</v>
      </c>
      <c r="M299" s="1">
        <v>7</v>
      </c>
      <c r="N299" s="1" t="s">
        <v>28</v>
      </c>
    </row>
    <row r="300" spans="1:14" x14ac:dyDescent="0.55000000000000004">
      <c r="A300" s="50"/>
      <c r="B300" s="1">
        <v>98</v>
      </c>
      <c r="C300" s="1">
        <v>-49.37</v>
      </c>
      <c r="D300" s="1">
        <v>-5.2306439999999998</v>
      </c>
      <c r="E300" s="1">
        <v>11.985618000000001</v>
      </c>
      <c r="F300" s="1">
        <v>27</v>
      </c>
      <c r="G300" s="1">
        <v>-7.1339999999999997E-3</v>
      </c>
      <c r="H300" s="1">
        <v>0</v>
      </c>
      <c r="I300" s="1">
        <v>29</v>
      </c>
      <c r="J300" s="1" t="s">
        <v>28</v>
      </c>
      <c r="K300" s="1">
        <v>-1.4621550000000001</v>
      </c>
      <c r="L300" s="1">
        <v>4.3000000000000002E-5</v>
      </c>
      <c r="M300" s="1">
        <v>13</v>
      </c>
      <c r="N300" s="1" t="s">
        <v>32</v>
      </c>
    </row>
    <row r="301" spans="1:14" x14ac:dyDescent="0.55000000000000004">
      <c r="A301" s="50"/>
      <c r="B301" s="1">
        <v>99</v>
      </c>
      <c r="C301" s="1">
        <v>60.2</v>
      </c>
      <c r="D301" s="1">
        <v>62.478090000000002</v>
      </c>
      <c r="E301" s="1">
        <v>63.366644000000001</v>
      </c>
      <c r="F301" s="1">
        <v>9</v>
      </c>
      <c r="G301" s="1">
        <v>62.747650999999998</v>
      </c>
      <c r="H301" s="1">
        <v>-0.92114799999999997</v>
      </c>
      <c r="I301" s="1">
        <v>15</v>
      </c>
      <c r="J301" s="1" t="s">
        <v>27</v>
      </c>
      <c r="K301" s="1">
        <v>-702476.90438299999</v>
      </c>
      <c r="L301" s="1">
        <v>9869476.0238390006</v>
      </c>
      <c r="M301" s="1">
        <v>5</v>
      </c>
      <c r="N301" s="1" t="s">
        <v>32</v>
      </c>
    </row>
    <row r="302" spans="1:14" ht="14.7" thickBot="1" x14ac:dyDescent="0.6">
      <c r="A302" s="51"/>
      <c r="B302" s="3">
        <v>100</v>
      </c>
      <c r="C302" s="1">
        <v>-51.41</v>
      </c>
      <c r="D302" s="1">
        <v>-7.2706439999999999</v>
      </c>
      <c r="E302" s="1">
        <v>9.9456179999999996</v>
      </c>
      <c r="F302" s="1">
        <v>27</v>
      </c>
      <c r="G302" s="1">
        <v>-8.3660000000000002E-3</v>
      </c>
      <c r="H302" s="1">
        <v>0</v>
      </c>
      <c r="I302" s="1">
        <v>29</v>
      </c>
      <c r="J302" s="1" t="s">
        <v>28</v>
      </c>
      <c r="K302" s="1">
        <v>-4.2240000000000003E-3</v>
      </c>
      <c r="L302" s="1">
        <v>0</v>
      </c>
      <c r="M302" s="1">
        <v>10</v>
      </c>
      <c r="N302" s="1" t="s">
        <v>28</v>
      </c>
    </row>
    <row r="303" spans="1:14" ht="14.7" thickBot="1" x14ac:dyDescent="0.6">
      <c r="A303" s="39" t="s">
        <v>7</v>
      </c>
      <c r="B303" s="40"/>
      <c r="C303" s="41"/>
      <c r="D303" s="20">
        <v>-100</v>
      </c>
      <c r="E303" s="16">
        <v>100</v>
      </c>
      <c r="F303" s="17">
        <v>0</v>
      </c>
      <c r="G303" s="18">
        <v>3.4895500000000001E-3</v>
      </c>
      <c r="H303" s="16">
        <v>0</v>
      </c>
      <c r="I303" s="19">
        <v>39</v>
      </c>
      <c r="J303" s="19" t="s">
        <v>28</v>
      </c>
      <c r="K303" s="20">
        <v>-1.0399999999999999E-4</v>
      </c>
      <c r="L303" s="16">
        <v>0</v>
      </c>
      <c r="M303" s="19">
        <v>6</v>
      </c>
      <c r="N303" s="17" t="s">
        <v>28</v>
      </c>
    </row>
  </sheetData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L16" sqref="L16"/>
    </sheetView>
  </sheetViews>
  <sheetFormatPr defaultRowHeight="14.4" x14ac:dyDescent="0.55000000000000004"/>
  <cols>
    <col min="1" max="3" width="15.68359375" customWidth="1"/>
    <col min="4" max="4" width="20.41796875" customWidth="1"/>
    <col min="5" max="12" width="15.68359375" customWidth="1"/>
  </cols>
  <sheetData>
    <row r="1" spans="1:12" ht="30" customHeight="1" x14ac:dyDescent="0.55000000000000004">
      <c r="A1" s="67" t="s">
        <v>0</v>
      </c>
      <c r="B1" s="69" t="s">
        <v>6</v>
      </c>
      <c r="C1" s="69"/>
      <c r="D1" s="70" t="s">
        <v>21</v>
      </c>
      <c r="E1" s="46" t="s">
        <v>8</v>
      </c>
      <c r="F1" s="47"/>
      <c r="G1" s="47"/>
      <c r="H1" s="54"/>
      <c r="I1" s="66" t="s">
        <v>9</v>
      </c>
      <c r="J1" s="43"/>
      <c r="K1" s="43"/>
      <c r="L1" s="45"/>
    </row>
    <row r="2" spans="1:12" ht="30" customHeight="1" thickBot="1" x14ac:dyDescent="0.6">
      <c r="A2" s="68"/>
      <c r="B2" s="26" t="s">
        <v>12</v>
      </c>
      <c r="C2" s="32" t="s">
        <v>3</v>
      </c>
      <c r="D2" s="71"/>
      <c r="E2" s="23" t="s">
        <v>10</v>
      </c>
      <c r="F2" s="22" t="s">
        <v>11</v>
      </c>
      <c r="G2" s="38" t="s">
        <v>3</v>
      </c>
      <c r="H2" s="24" t="s">
        <v>26</v>
      </c>
      <c r="I2" s="21" t="s">
        <v>10</v>
      </c>
      <c r="J2" s="22" t="s">
        <v>11</v>
      </c>
      <c r="K2" s="38" t="s">
        <v>3</v>
      </c>
      <c r="L2" s="24" t="s">
        <v>26</v>
      </c>
    </row>
    <row r="3" spans="1:12" ht="14.7" thickBot="1" x14ac:dyDescent="0.6">
      <c r="A3" s="60" t="s">
        <v>29</v>
      </c>
      <c r="B3" s="63">
        <f>AVERAGE('Tabela 1'!E$3:E$102) - AVERAGE('Tabela 1'!D$3:D$102)</f>
        <v>17.94517286</v>
      </c>
      <c r="C3" s="57">
        <f>AVERAGE('Tabela 1'!F3:F102)</f>
        <v>15.93</v>
      </c>
      <c r="D3" s="33" t="s">
        <v>22</v>
      </c>
      <c r="E3" s="14">
        <f>AVERAGEIF('Tabela 1'!$J$3:$J$102,"glob",'Tabela 1'!G$3:G$102)</f>
        <v>62.7368375625</v>
      </c>
      <c r="F3" s="14">
        <f>AVERAGEIF('Tabela 1'!$J$3:$J$102,"glob",'Tabela 1'!H$3:H$102)</f>
        <v>-0.92110824999999996</v>
      </c>
      <c r="G3" s="14">
        <f>AVERAGEIF('Tabela 1'!$J$3:$J$102,"glob",'Tabela 1'!I$3:I$102)</f>
        <v>23.5</v>
      </c>
      <c r="H3" s="11">
        <f>COUNTIF('Tabela 1'!J$3:J$102,"glob")</f>
        <v>16</v>
      </c>
      <c r="I3" s="14" t="str">
        <f>IF(L3&gt;0,AVERAGEIF('Tabela 1'!$N$3:$N$102,"glob",'Tabela 1'!K$3:K$102),"brak")</f>
        <v>brak</v>
      </c>
      <c r="J3" s="14" t="str">
        <f>IF(M3&gt;0,AVERAGEIF('Tabela 1'!$N$3:$N$102,"glob",'Tabela 1'!L$3:L$102),"brak")</f>
        <v>brak</v>
      </c>
      <c r="K3" s="14" t="str">
        <f>IF(N3&gt;0,AVERAGEIF('Tabela 1'!$N$3:$N$102,"glob",'Tabela 1'!M$3:M$102),"brak")</f>
        <v>brak</v>
      </c>
      <c r="L3" s="11">
        <f>COUNTIF('Tabela 1'!N$3:N$102,"glob")</f>
        <v>0</v>
      </c>
    </row>
    <row r="4" spans="1:12" ht="14.7" thickBot="1" x14ac:dyDescent="0.6">
      <c r="A4" s="61"/>
      <c r="B4" s="64"/>
      <c r="C4" s="58"/>
      <c r="D4" s="34" t="s">
        <v>23</v>
      </c>
      <c r="E4" s="14">
        <f>AVERAGEIF('Tabela 1'!$J$3:$J$102,"loc",'Tabela 1'!G$3:G$102)</f>
        <v>-6.3815238095238092E-3</v>
      </c>
      <c r="F4" s="14">
        <f>AVERAGEIF('Tabela 1'!$J$3:$J$102,"loc",'Tabela 1'!H$3:H$102)</f>
        <v>8.3333333333333338E-8</v>
      </c>
      <c r="G4" s="14">
        <f>AVERAGEIF('Tabela 1'!$J$3:$J$102,"loc",'Tabela 1'!I$3:I$102)</f>
        <v>27.452380952380953</v>
      </c>
      <c r="H4" s="11">
        <f>COUNTIF('Tabela 1'!J$3:J$102,"loc")</f>
        <v>84</v>
      </c>
      <c r="I4" s="14">
        <f>AVERAGEIF('Tabela 1'!$N$3:$N$102,"loc",'Tabela 1'!K$3:K$102)</f>
        <v>-7.8079333333333348E-2</v>
      </c>
      <c r="J4" s="14">
        <f>AVERAGEIF('Tabela 1'!$N$3:$N$102,"loc",'Tabela 1'!L$3:L$102)</f>
        <v>3.9393939393939396E-7</v>
      </c>
      <c r="K4" s="14">
        <f>AVERAGEIF('Tabela 1'!$N$3:$N$102,"loc",'Tabela 1'!M$3:M$102)</f>
        <v>9.7575757575757578</v>
      </c>
      <c r="L4" s="11">
        <f>COUNTIF('Tabela 1'!N$3:N$102,"loc")</f>
        <v>33</v>
      </c>
    </row>
    <row r="5" spans="1:12" ht="14.7" thickBot="1" x14ac:dyDescent="0.6">
      <c r="A5" s="62"/>
      <c r="B5" s="65"/>
      <c r="C5" s="59"/>
      <c r="D5" s="37" t="s">
        <v>25</v>
      </c>
      <c r="E5" s="55"/>
      <c r="F5" s="56"/>
      <c r="G5" s="14" t="str">
        <f>IF(H5&gt;0,AVERAGEIF('Tabela 1'!$J$3:$J$102,"brak",'Tabela 1'!I$3:I$102),"brak")</f>
        <v>brak</v>
      </c>
      <c r="H5" s="11">
        <f>COUNTIF('Tabela 1'!J$3:J$102,"brak")</f>
        <v>0</v>
      </c>
      <c r="I5" s="55"/>
      <c r="J5" s="56"/>
      <c r="K5" s="14">
        <f>IF(L5&gt;0,AVERAGEIF('Tabela 1'!$N$3:$N$102,"brak",'Tabela 1'!M$3:M$102),"brak")</f>
        <v>10.940298507462687</v>
      </c>
      <c r="L5" s="11">
        <f>COUNTIF('Tabela 1'!N$3:N$102,"brak")</f>
        <v>67</v>
      </c>
    </row>
    <row r="6" spans="1:12" ht="14.7" thickBot="1" x14ac:dyDescent="0.6">
      <c r="A6" s="60" t="s">
        <v>30</v>
      </c>
      <c r="B6" s="63">
        <f>AVERAGE('Tabela 1'!E$103:E$202) - AVERAGE('Tabela 1'!D$103:D$202)</f>
        <v>12.05792288</v>
      </c>
      <c r="C6" s="57">
        <f>AVERAGE('Tabela 1'!F$103:F$202)</f>
        <v>24.48</v>
      </c>
      <c r="D6" s="33" t="s">
        <v>22</v>
      </c>
      <c r="E6" s="14">
        <f>AVERAGEIF('Tabela 1'!$J$103:$J$202,"glob",'Tabela 1'!G$103:G$202)</f>
        <v>62.744511611111115</v>
      </c>
      <c r="F6" s="14">
        <f>AVERAGEIF('Tabela 1'!$J$103:$J$202,"glob",'Tabela 1'!H$103:H$202)</f>
        <v>-0.92114794444444448</v>
      </c>
      <c r="G6" s="14">
        <f>AVERAGEIF('Tabela 1'!$J$103:$J$202,"glob",'Tabela 1'!I$103:I$202)</f>
        <v>23.555555555555557</v>
      </c>
      <c r="H6" s="11">
        <f>COUNTIF('Tabela 1'!J$103:J$202,"glob")</f>
        <v>18</v>
      </c>
      <c r="I6" s="14" t="str">
        <f>IF(L6&gt;0,AVERAGEIF('Tabela 1'!$N$103:$N$202,"glob",'Tabela 1'!K$103:K$202),"brak")</f>
        <v>brak</v>
      </c>
      <c r="J6" s="14" t="str">
        <f>IF(M6&gt;0,AVERAGEIF('Tabela 1'!$N$103:$N$202,"glob",'Tabela 1'!L$103:L$202),"brak")</f>
        <v>brak</v>
      </c>
      <c r="K6" s="14" t="str">
        <f>IF(N6&gt;0,AVERAGEIF('Tabela 1'!$N$103:$N$202,"glob",'Tabela 1'!M$103:M$202),"brak")</f>
        <v>brak</v>
      </c>
      <c r="L6" s="11">
        <f>COUNTIF('Tabela 1'!N$103:N$202,"glob")</f>
        <v>0</v>
      </c>
    </row>
    <row r="7" spans="1:12" ht="14.7" thickBot="1" x14ac:dyDescent="0.6">
      <c r="A7" s="61"/>
      <c r="B7" s="64"/>
      <c r="C7" s="58"/>
      <c r="D7" s="34" t="s">
        <v>23</v>
      </c>
      <c r="E7" s="14">
        <f>AVERAGEIF('Tabela 1'!$J$103:$J$202,"loc",'Tabela 1'!G$103:G$202)</f>
        <v>-4.453914634146342E-3</v>
      </c>
      <c r="F7" s="14">
        <f>AVERAGEIF('Tabela 1'!$J$103:$J$202,"loc",'Tabela 1'!H$103:H$202)</f>
        <v>0</v>
      </c>
      <c r="G7" s="14">
        <f>AVERAGEIF('Tabela 1'!$J$103:$J$202,"loc",'Tabela 1'!I$103:I$202)</f>
        <v>26.097560975609756</v>
      </c>
      <c r="H7" s="11">
        <f>COUNTIF('Tabela 1'!J$103:J$202,"loc")</f>
        <v>82</v>
      </c>
      <c r="I7" s="14">
        <f>AVERAGEIF('Tabela 1'!$N$103:$N$202,"loc",'Tabela 1'!K$103:K$202)</f>
        <v>-7.8773590909090918E-2</v>
      </c>
      <c r="J7" s="14">
        <f>AVERAGEIF('Tabela 1'!$N$103:$N$202,"loc",'Tabela 1'!L$103:L$202)</f>
        <v>1.0681818181818183E-6</v>
      </c>
      <c r="K7" s="14">
        <f>AVERAGEIF('Tabela 1'!$N$103:$N$202,"loc",'Tabela 1'!M$103:M$202)</f>
        <v>8.9772727272727266</v>
      </c>
      <c r="L7" s="11">
        <f>COUNTIF('Tabela 1'!N$103:N$202,"loc")</f>
        <v>44</v>
      </c>
    </row>
    <row r="8" spans="1:12" ht="14.7" thickBot="1" x14ac:dyDescent="0.6">
      <c r="A8" s="62"/>
      <c r="B8" s="65"/>
      <c r="C8" s="59"/>
      <c r="D8" s="35" t="s">
        <v>25</v>
      </c>
      <c r="E8" s="55"/>
      <c r="F8" s="56"/>
      <c r="G8" s="14" t="str">
        <f>IF(H8&gt;0,AVERAGEIF('Tabela 1'!$J$103:$J$202,"brak",'Tabela 1'!I$103:I$202),"brak")</f>
        <v>brak</v>
      </c>
      <c r="H8" s="11">
        <f>COUNTIF('Tabela 1'!J$103:J$202,"brak")</f>
        <v>0</v>
      </c>
      <c r="I8" s="55" t="s">
        <v>33</v>
      </c>
      <c r="J8" s="56"/>
      <c r="K8" s="14">
        <f>IF(L8&gt;0,AVERAGEIF('Tabela 1'!$N$103:$N$202,"brak",'Tabela 1'!M$103:M$202),"brak")</f>
        <v>10.410714285714286</v>
      </c>
      <c r="L8" s="11">
        <f>COUNTIF('Tabela 1'!N$103:N$202,"brak")</f>
        <v>56</v>
      </c>
    </row>
    <row r="9" spans="1:12" ht="14.7" thickBot="1" x14ac:dyDescent="0.6">
      <c r="A9" s="60" t="s">
        <v>31</v>
      </c>
      <c r="B9" s="63">
        <f>AVERAGE('Tabela 1'!E$203:E$302) - AVERAGE('Tabela 1'!D$203:D$302)</f>
        <v>12.344872439999998</v>
      </c>
      <c r="C9" s="63">
        <f>AVERAGE('Tabela 1'!F$203:F$302)</f>
        <v>22.62</v>
      </c>
      <c r="D9" s="36" t="s">
        <v>22</v>
      </c>
      <c r="E9" s="14">
        <f>AVERAGEIF('Tabela 1'!$J$103:$J$202,"glob",'Tabela 1'!G$103:G$202)</f>
        <v>62.744511611111115</v>
      </c>
      <c r="F9" s="14">
        <f>AVERAGEIF('Tabela 1'!$J$103:$J$202,"glob",'Tabela 1'!H$103:H$202)</f>
        <v>-0.92114794444444448</v>
      </c>
      <c r="G9" s="14">
        <f>AVERAGEIF('Tabela 1'!$J$103:$J$202,"glob",'Tabela 1'!I$103:I$202)</f>
        <v>23.555555555555557</v>
      </c>
      <c r="H9" s="11">
        <f>COUNTIF('Tabela 1'!J$203:J$302,"glob")</f>
        <v>16</v>
      </c>
      <c r="I9" s="14" t="str">
        <f>IF(L9&gt;0,AVERAGEIF('Tabela 1'!$N$202:$N$203,"glob",'Tabela 1'!K$103:K$202),"brak")</f>
        <v>brak</v>
      </c>
      <c r="J9" s="14" t="str">
        <f>IF(M9&gt;0,AVERAGEIF('Tabela 1'!$N$202:$N$203,"glob",'Tabela 1'!L$103:L$202),"brak")</f>
        <v>brak</v>
      </c>
      <c r="K9" s="14" t="str">
        <f>IF(N9&gt;0,AVERAGEIF('Tabela 1'!$N$202:$N$203,"glob",'Tabela 1'!M$103:M$202),"brak")</f>
        <v>brak</v>
      </c>
      <c r="L9" s="11">
        <f>COUNTIF('Tabela 1'!N$203:N$302,"glob")</f>
        <v>0</v>
      </c>
    </row>
    <row r="10" spans="1:12" ht="14.7" thickBot="1" x14ac:dyDescent="0.6">
      <c r="A10" s="61"/>
      <c r="B10" s="64"/>
      <c r="C10" s="64"/>
      <c r="D10" s="34" t="s">
        <v>23</v>
      </c>
      <c r="E10" s="14">
        <f>AVERAGEIF('Tabela 1'!$J$203:$J$302,"loc",'Tabela 1'!G$203:G$302)</f>
        <v>-8.6644047619047714E-4</v>
      </c>
      <c r="F10" s="14">
        <f>AVERAGEIF('Tabela 1'!$J$203:$J$302,"loc",'Tabela 1'!H$203:H$302)</f>
        <v>2.380952380952381E-8</v>
      </c>
      <c r="G10" s="14">
        <f>AVERAGEIF('Tabela 1'!$J$203:$J$302,"loc",'Tabela 1'!I$203:I$302)</f>
        <v>25.857142857142858</v>
      </c>
      <c r="H10" s="11">
        <f>COUNTIF('Tabela 1'!J$203:J$302,"loc")</f>
        <v>84</v>
      </c>
      <c r="I10" s="14">
        <f>AVERAGEIF('Tabela 1'!$N$203:$N$302,"loc",'Tabela 1'!K$203:K$302)</f>
        <v>-3.5898194444444448E-2</v>
      </c>
      <c r="J10" s="14">
        <f>AVERAGEIF('Tabela 1'!$N$203:$N$302,"loc",'Tabela 1'!L$203:L$302)</f>
        <v>3.3333333333333335E-7</v>
      </c>
      <c r="K10" s="14">
        <f>AVERAGEIF('Tabela 1'!$N$203:$N$302,"loc",'Tabela 1'!M$203:M$302)</f>
        <v>8.8888888888888893</v>
      </c>
      <c r="L10" s="11">
        <f>COUNTIF('Tabela 1'!N$203:N$302,"loc")</f>
        <v>36</v>
      </c>
    </row>
    <row r="11" spans="1:12" ht="14.7" thickBot="1" x14ac:dyDescent="0.6">
      <c r="A11" s="62"/>
      <c r="B11" s="65"/>
      <c r="C11" s="65"/>
      <c r="D11" s="35" t="s">
        <v>25</v>
      </c>
      <c r="E11" s="55"/>
      <c r="F11" s="56"/>
      <c r="G11" s="14" t="str">
        <f>IF(H11&gt;0,AVERAGEIF('Tabela 1'!$J$103:$J$202,"brak",'Tabela 1'!I$103:I$202),"brak")</f>
        <v>brak</v>
      </c>
      <c r="H11" s="11">
        <f>COUNTIF('Tabela 1'!J$203:J$302,"brak")</f>
        <v>0</v>
      </c>
      <c r="I11" s="55"/>
      <c r="J11" s="56"/>
      <c r="K11" s="14">
        <f>IF(L11&gt;0,AVERAGEIF('Tabela 1'!$N$203:$N$302,"brak",'Tabela 1'!M$203:M$302),"brak")</f>
        <v>10.703125</v>
      </c>
      <c r="L11" s="11">
        <f>COUNTIF('Tabela 1'!N$203:N$302,"brak")</f>
        <v>64</v>
      </c>
    </row>
  </sheetData>
  <mergeCells count="20">
    <mergeCell ref="C9:C11"/>
    <mergeCell ref="A9:A11"/>
    <mergeCell ref="B9:B11"/>
    <mergeCell ref="E1:H1"/>
    <mergeCell ref="I1:L1"/>
    <mergeCell ref="A1:A2"/>
    <mergeCell ref="B1:C1"/>
    <mergeCell ref="D1:D2"/>
    <mergeCell ref="C3:C5"/>
    <mergeCell ref="C6:C8"/>
    <mergeCell ref="A3:A5"/>
    <mergeCell ref="A6:A8"/>
    <mergeCell ref="B3:B5"/>
    <mergeCell ref="B6:B8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H7" sqref="H7"/>
    </sheetView>
  </sheetViews>
  <sheetFormatPr defaultRowHeight="14.4" x14ac:dyDescent="0.55000000000000004"/>
  <cols>
    <col min="1" max="1" width="10.68359375" customWidth="1"/>
    <col min="2" max="3" width="20.68359375" customWidth="1"/>
  </cols>
  <sheetData>
    <row r="1" spans="1:3" ht="15" customHeight="1" x14ac:dyDescent="0.55000000000000004">
      <c r="A1" s="72" t="s">
        <v>13</v>
      </c>
      <c r="B1" s="48" t="s">
        <v>12</v>
      </c>
      <c r="C1" s="74"/>
    </row>
    <row r="2" spans="1:3" ht="45" customHeight="1" thickBot="1" x14ac:dyDescent="0.6">
      <c r="A2" s="73"/>
      <c r="B2" s="21" t="s">
        <v>8</v>
      </c>
      <c r="C2" s="24" t="s">
        <v>9</v>
      </c>
    </row>
    <row r="3" spans="1:3" x14ac:dyDescent="0.55000000000000004">
      <c r="A3" s="14">
        <v>1</v>
      </c>
      <c r="B3" s="1">
        <v>6.4099399999999997</v>
      </c>
      <c r="C3" s="1">
        <v>6.4099399999999997</v>
      </c>
    </row>
    <row r="4" spans="1:3" x14ac:dyDescent="0.55000000000000004">
      <c r="A4" s="9">
        <v>2</v>
      </c>
      <c r="B4" s="1">
        <v>3.96156</v>
      </c>
      <c r="C4" s="1">
        <v>3.2049699999999999</v>
      </c>
    </row>
    <row r="5" spans="1:3" x14ac:dyDescent="0.55000000000000004">
      <c r="A5" s="9">
        <v>3</v>
      </c>
      <c r="B5" s="1">
        <v>2.4483799999999998</v>
      </c>
      <c r="C5" s="1">
        <v>2.0060199999999999</v>
      </c>
    </row>
    <row r="6" spans="1:3" x14ac:dyDescent="0.55000000000000004">
      <c r="A6" s="9">
        <v>4</v>
      </c>
      <c r="B6" s="1">
        <v>1.51319</v>
      </c>
      <c r="C6" s="1">
        <v>2.2032400000000001E-2</v>
      </c>
    </row>
    <row r="7" spans="1:3" ht="14.7" thickBot="1" x14ac:dyDescent="0.6">
      <c r="A7" s="9">
        <v>5</v>
      </c>
      <c r="B7" s="1">
        <v>0.93518900000000005</v>
      </c>
      <c r="C7" s="1"/>
    </row>
    <row r="8" spans="1:3" x14ac:dyDescent="0.55000000000000004">
      <c r="A8" s="14">
        <v>6</v>
      </c>
      <c r="B8" s="1">
        <v>0.57799800000000001</v>
      </c>
      <c r="C8" s="1"/>
    </row>
    <row r="9" spans="1:3" x14ac:dyDescent="0.55000000000000004">
      <c r="A9" s="9">
        <v>7</v>
      </c>
      <c r="B9" s="1">
        <v>0.35719000000000001</v>
      </c>
      <c r="C9" s="1"/>
    </row>
    <row r="10" spans="1:3" x14ac:dyDescent="0.55000000000000004">
      <c r="A10" s="9">
        <v>8</v>
      </c>
      <c r="B10" s="1">
        <v>0.220808</v>
      </c>
      <c r="C10" s="1"/>
    </row>
    <row r="11" spans="1:3" x14ac:dyDescent="0.55000000000000004">
      <c r="A11" s="9">
        <v>9</v>
      </c>
      <c r="B11" s="1">
        <v>0.136382</v>
      </c>
      <c r="C11" s="1"/>
    </row>
    <row r="12" spans="1:3" ht="14.7" thickBot="1" x14ac:dyDescent="0.6">
      <c r="A12" s="9">
        <v>10</v>
      </c>
      <c r="B12" s="1">
        <v>8.4426699999999993E-2</v>
      </c>
      <c r="C12" s="1"/>
    </row>
    <row r="13" spans="1:3" x14ac:dyDescent="0.55000000000000004">
      <c r="A13" s="14">
        <v>11</v>
      </c>
      <c r="B13" s="1">
        <v>5.1954899999999998E-2</v>
      </c>
      <c r="C13" s="1"/>
    </row>
    <row r="14" spans="1:3" x14ac:dyDescent="0.55000000000000004">
      <c r="A14" s="9">
        <v>12</v>
      </c>
      <c r="B14" s="1">
        <v>3.2471800000000002E-2</v>
      </c>
      <c r="C14" s="1"/>
    </row>
    <row r="15" spans="1:3" x14ac:dyDescent="0.55000000000000004">
      <c r="A15" s="9">
        <v>13</v>
      </c>
      <c r="B15" s="1">
        <v>1.94831E-2</v>
      </c>
      <c r="C15" s="1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opLeftCell="B1" workbookViewId="0">
      <selection activeCell="E12" sqref="E12"/>
    </sheetView>
  </sheetViews>
  <sheetFormatPr defaultRowHeight="14.4" x14ac:dyDescent="0.55000000000000004"/>
  <cols>
    <col min="1" max="6" width="15.68359375" customWidth="1"/>
  </cols>
  <sheetData>
    <row r="1" spans="1:6" ht="30" customHeight="1" x14ac:dyDescent="0.55000000000000004">
      <c r="A1" s="46" t="s">
        <v>8</v>
      </c>
      <c r="B1" s="47"/>
      <c r="C1" s="54"/>
      <c r="D1" s="66" t="s">
        <v>9</v>
      </c>
      <c r="E1" s="43"/>
      <c r="F1" s="45"/>
    </row>
    <row r="2" spans="1:6" ht="30" customHeight="1" thickBot="1" x14ac:dyDescent="0.6">
      <c r="A2" s="23" t="s">
        <v>20</v>
      </c>
      <c r="B2" s="22" t="s">
        <v>11</v>
      </c>
      <c r="C2" s="24" t="s">
        <v>3</v>
      </c>
      <c r="D2" s="21" t="s">
        <v>20</v>
      </c>
      <c r="E2" s="22" t="s">
        <v>11</v>
      </c>
      <c r="F2" s="24" t="s">
        <v>3</v>
      </c>
    </row>
    <row r="3" spans="1:6" ht="14.7" thickBot="1" x14ac:dyDescent="0.6">
      <c r="A3" s="80">
        <v>0.40755400000000003</v>
      </c>
      <c r="B3" s="82">
        <v>10.908590999999999</v>
      </c>
      <c r="C3" s="82">
        <v>19</v>
      </c>
      <c r="D3" s="82">
        <v>7.9887E-2</v>
      </c>
      <c r="E3" s="82">
        <v>188.45928900000001</v>
      </c>
      <c r="F3" s="81">
        <v>18</v>
      </c>
    </row>
    <row r="4" spans="1:6" x14ac:dyDescent="0.55000000000000004">
      <c r="A4">
        <v>0.12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tabSelected="1" workbookViewId="0">
      <selection activeCell="C21" activeCellId="1" sqref="B22 C21"/>
    </sheetView>
  </sheetViews>
  <sheetFormatPr defaultRowHeight="14.4" x14ac:dyDescent="0.55000000000000004"/>
  <cols>
    <col min="1" max="7" width="12.68359375" customWidth="1"/>
  </cols>
  <sheetData>
    <row r="1" spans="1:7" x14ac:dyDescent="0.55000000000000004">
      <c r="A1" s="78" t="s">
        <v>14</v>
      </c>
      <c r="B1" s="75" t="s">
        <v>15</v>
      </c>
      <c r="C1" s="76"/>
      <c r="D1" s="49" t="s">
        <v>16</v>
      </c>
      <c r="E1" s="77"/>
      <c r="F1" s="75" t="s">
        <v>17</v>
      </c>
      <c r="G1" s="77"/>
    </row>
    <row r="2" spans="1:7" ht="14.7" thickBot="1" x14ac:dyDescent="0.6">
      <c r="A2" s="79"/>
      <c r="B2" s="30" t="s">
        <v>18</v>
      </c>
      <c r="C2" s="31" t="s">
        <v>19</v>
      </c>
      <c r="D2" s="25" t="s">
        <v>18</v>
      </c>
      <c r="E2" s="29" t="s">
        <v>19</v>
      </c>
      <c r="F2" s="30" t="s">
        <v>18</v>
      </c>
      <c r="G2" s="29" t="s">
        <v>19</v>
      </c>
    </row>
    <row r="3" spans="1:7" x14ac:dyDescent="0.55000000000000004">
      <c r="A3" s="27"/>
      <c r="B3" s="12"/>
      <c r="C3" s="13"/>
      <c r="D3" s="14"/>
      <c r="E3" s="11"/>
      <c r="F3" s="12"/>
      <c r="G3" s="11"/>
    </row>
    <row r="4" spans="1:7" x14ac:dyDescent="0.55000000000000004">
      <c r="A4" s="28"/>
      <c r="B4" s="7"/>
      <c r="C4" s="8"/>
      <c r="D4" s="9"/>
      <c r="E4" s="2"/>
      <c r="F4" s="7"/>
      <c r="G4" s="2"/>
    </row>
    <row r="5" spans="1:7" x14ac:dyDescent="0.55000000000000004">
      <c r="A5" s="28"/>
      <c r="B5" s="7"/>
      <c r="C5" s="8"/>
      <c r="D5" s="9"/>
      <c r="E5" s="2"/>
      <c r="F5" s="7"/>
      <c r="G5" s="2"/>
    </row>
    <row r="6" spans="1:7" x14ac:dyDescent="0.55000000000000004">
      <c r="A6" s="28"/>
      <c r="B6" s="7"/>
      <c r="C6" s="8"/>
      <c r="D6" s="9"/>
      <c r="E6" s="2"/>
      <c r="F6" s="7"/>
      <c r="G6" s="2"/>
    </row>
    <row r="7" spans="1:7" x14ac:dyDescent="0.55000000000000004">
      <c r="A7" s="28"/>
      <c r="B7" s="7"/>
      <c r="C7" s="8"/>
      <c r="D7" s="9"/>
      <c r="E7" s="2"/>
      <c r="F7" s="7"/>
      <c r="G7" s="2"/>
    </row>
    <row r="8" spans="1:7" x14ac:dyDescent="0.55000000000000004">
      <c r="A8" s="28"/>
      <c r="B8" s="7"/>
      <c r="C8" s="8"/>
      <c r="D8" s="9"/>
      <c r="E8" s="2"/>
      <c r="F8" s="7"/>
      <c r="G8" s="2"/>
    </row>
    <row r="9" spans="1:7" x14ac:dyDescent="0.55000000000000004">
      <c r="A9" s="28"/>
      <c r="B9" s="7"/>
      <c r="C9" s="8"/>
      <c r="D9" s="9"/>
      <c r="E9" s="2"/>
      <c r="F9" s="7"/>
      <c r="G9" s="2"/>
    </row>
    <row r="10" spans="1:7" x14ac:dyDescent="0.55000000000000004">
      <c r="A10" s="28"/>
      <c r="B10" s="7"/>
      <c r="C10" s="8"/>
      <c r="D10" s="9"/>
      <c r="E10" s="2"/>
      <c r="F10" s="7"/>
      <c r="G10" s="2"/>
    </row>
    <row r="11" spans="1:7" x14ac:dyDescent="0.55000000000000004">
      <c r="A11" s="28"/>
      <c r="B11" s="7"/>
      <c r="C11" s="8"/>
      <c r="D11" s="9"/>
      <c r="E11" s="2"/>
      <c r="F11" s="7"/>
      <c r="G11" s="2"/>
    </row>
    <row r="12" spans="1:7" x14ac:dyDescent="0.55000000000000004">
      <c r="A12" s="28"/>
      <c r="B12" s="7"/>
      <c r="C12" s="8"/>
      <c r="D12" s="9"/>
      <c r="E12" s="2"/>
      <c r="F12" s="7"/>
      <c r="G12" s="2"/>
    </row>
    <row r="13" spans="1:7" x14ac:dyDescent="0.55000000000000004">
      <c r="A13" s="28"/>
      <c r="B13" s="7"/>
      <c r="C13" s="8"/>
      <c r="D13" s="9"/>
      <c r="E13" s="2"/>
      <c r="F13" s="7"/>
      <c r="G13" s="2"/>
    </row>
    <row r="14" spans="1:7" x14ac:dyDescent="0.55000000000000004">
      <c r="A14" s="28"/>
      <c r="B14" s="7"/>
      <c r="C14" s="8"/>
      <c r="D14" s="9"/>
      <c r="E14" s="2"/>
      <c r="F14" s="7"/>
      <c r="G14" s="2"/>
    </row>
    <row r="15" spans="1:7" x14ac:dyDescent="0.55000000000000004">
      <c r="A15" s="28"/>
      <c r="B15" s="7"/>
      <c r="C15" s="8"/>
      <c r="D15" s="9"/>
      <c r="E15" s="2"/>
      <c r="F15" s="7"/>
      <c r="G15" s="2"/>
    </row>
    <row r="16" spans="1:7" x14ac:dyDescent="0.55000000000000004">
      <c r="A16" s="28"/>
      <c r="B16" s="7"/>
      <c r="C16" s="8"/>
      <c r="D16" s="9"/>
      <c r="E16" s="2"/>
      <c r="F16" s="7"/>
      <c r="G16" s="2"/>
    </row>
    <row r="17" spans="1:7" x14ac:dyDescent="0.55000000000000004">
      <c r="A17" s="28"/>
      <c r="B17" s="7"/>
      <c r="C17" s="8"/>
      <c r="D17" s="9"/>
      <c r="E17" s="2"/>
      <c r="F17" s="7"/>
      <c r="G17" s="2"/>
    </row>
    <row r="18" spans="1:7" x14ac:dyDescent="0.55000000000000004">
      <c r="A18" s="28"/>
      <c r="B18" s="7"/>
      <c r="C18" s="8"/>
      <c r="D18" s="9"/>
      <c r="E18" s="2"/>
      <c r="F18" s="7"/>
      <c r="G18" s="2"/>
    </row>
    <row r="19" spans="1:7" x14ac:dyDescent="0.55000000000000004">
      <c r="A19" s="28"/>
      <c r="B19" s="7"/>
      <c r="C19" s="8"/>
      <c r="D19" s="9"/>
      <c r="E19" s="2"/>
      <c r="F19" s="7"/>
      <c r="G19" s="2"/>
    </row>
    <row r="20" spans="1:7" x14ac:dyDescent="0.55000000000000004">
      <c r="A20" s="28"/>
      <c r="B20" s="7"/>
      <c r="C20" s="8"/>
      <c r="D20" s="9"/>
      <c r="E20" s="2"/>
      <c r="F20" s="7"/>
      <c r="G20" s="2"/>
    </row>
    <row r="21" spans="1:7" x14ac:dyDescent="0.55000000000000004">
      <c r="A21" s="28"/>
      <c r="B21" s="7"/>
      <c r="C21" s="8"/>
      <c r="D21" s="9"/>
      <c r="E21" s="2"/>
      <c r="F21" s="7"/>
      <c r="G21" s="2"/>
    </row>
    <row r="22" spans="1:7" x14ac:dyDescent="0.55000000000000004">
      <c r="A22" s="28"/>
      <c r="B22" s="7"/>
      <c r="C22" s="8"/>
      <c r="D22" s="9"/>
      <c r="E22" s="2"/>
      <c r="F22" s="7"/>
      <c r="G22" s="2"/>
    </row>
    <row r="23" spans="1:7" x14ac:dyDescent="0.55000000000000004">
      <c r="A23" s="28"/>
      <c r="B23" s="7"/>
      <c r="C23" s="8"/>
      <c r="D23" s="9"/>
      <c r="E23" s="2"/>
      <c r="F23" s="7"/>
      <c r="G23" s="2"/>
    </row>
    <row r="24" spans="1:7" x14ac:dyDescent="0.55000000000000004">
      <c r="A24" s="28"/>
      <c r="B24" s="7"/>
      <c r="C24" s="8"/>
      <c r="D24" s="9"/>
      <c r="E24" s="2"/>
      <c r="F24" s="7"/>
      <c r="G24" s="2"/>
    </row>
    <row r="25" spans="1:7" x14ac:dyDescent="0.55000000000000004">
      <c r="A25" s="28"/>
      <c r="B25" s="7"/>
      <c r="C25" s="8"/>
      <c r="D25" s="9"/>
      <c r="E25" s="2"/>
      <c r="F25" s="7"/>
      <c r="G25" s="2"/>
    </row>
    <row r="26" spans="1:7" x14ac:dyDescent="0.55000000000000004">
      <c r="A26" s="28"/>
      <c r="B26" s="7"/>
      <c r="C26" s="8"/>
      <c r="D26" s="9"/>
      <c r="E26" s="2"/>
      <c r="F26" s="7"/>
      <c r="G26" s="2"/>
    </row>
    <row r="27" spans="1:7" x14ac:dyDescent="0.55000000000000004">
      <c r="A27" s="28"/>
      <c r="B27" s="7"/>
      <c r="C27" s="8"/>
      <c r="D27" s="9"/>
      <c r="E27" s="2"/>
      <c r="F27" s="7"/>
      <c r="G27" s="2"/>
    </row>
    <row r="28" spans="1:7" x14ac:dyDescent="0.55000000000000004">
      <c r="A28" s="28"/>
      <c r="B28" s="7"/>
      <c r="C28" s="8"/>
      <c r="D28" s="9"/>
      <c r="E28" s="2"/>
      <c r="F28" s="7"/>
      <c r="G28" s="2"/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2024-10-26T00:59:08Z</dcterms:modified>
</cp:coreProperties>
</file>